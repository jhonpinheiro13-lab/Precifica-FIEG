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0" showVerticalScroll="0" showSheetTabs="0" xWindow="0" yWindow="0" windowWidth="16384" windowHeight="8192" tabRatio="500" firstSheet="0" activeTab="0" autoFilterDateGrouping="1"/>
  </bookViews>
  <sheets>
    <sheet xmlns:r="http://schemas.openxmlformats.org/officeDocument/2006/relationships" name="Levantamento" sheetId="1" state="visible" r:id="rId1"/>
    <sheet xmlns:r="http://schemas.openxmlformats.org/officeDocument/2006/relationships" name="Precificaçã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Tabela de Exames" sheetId="4" state="visible" r:id="rId4"/>
  </sheets>
  <definedNames>
    <definedName name="P_DIARIA">'Parâmetros'!$B$4</definedName>
    <definedName name="P_MEIA_DIARIA">'Parâmetros'!$B$5</definedName>
    <definedName name="P_REFEICAO">'Parâmetros'!$B$6</definedName>
    <definedName name="P_KM">'Parâmetros'!$B$7</definedName>
    <definedName name="P_KM_LIVRE">'Parâmetros'!$B$8</definedName>
    <definedName name="P_DIST_DIARIA">'Parâmetros'!$B$9</definedName>
    <definedName name="P_H_ENG">'Parâmetros'!$B$10</definedName>
    <definedName name="P_H_TST">'Parâmetros'!$B$11</definedName>
    <definedName name="P_ART">'Parâmetros'!$B$12</definedName>
    <definedName name="P_POSTAGEM">'Parâmetros'!$B$13</definedName>
    <definedName name="P_FOLHA">'Parâmetros'!$B$14</definedName>
    <definedName name="P_FOLHAS_AV">'Parâmetros'!$B$15</definedName>
    <definedName name="P_LANC_H">'Parâmetros'!$B$16</definedName>
    <definedName name="P_LANC_MIN">'Parâmetros'!$B$17</definedName>
    <definedName name="P_REV_H">'Parâmetros'!$B$18</definedName>
    <definedName name="P_ENT_H">'Parâmetros'!$B$19</definedName>
    <definedName name="P_DOS_PCT">'Parâmetros'!$B$20</definedName>
    <definedName name="P_DOS_LIM">'Parâmetros'!$B$21</definedName>
    <definedName name="P_QUAL_VARIAS">'Parâmetros'!$B$22</definedName>
    <definedName name="P_QUAL_UNICA">'Parâmetros'!$B$23</definedName>
    <definedName name="P_AUSENCIA">'Parâmetros'!$B$24</definedName>
    <definedName name="P_BDI">'Parâmetros'!$B$25</definedName>
    <definedName name="P_DESCONTO">'Parâmetros'!$B$26</definedName>
    <definedName name="T_TIPOS">'Parâmetros'!$A$31:$A$38</definedName>
    <definedName name="T_HORAS">'Parâmetros'!$B$31:$B$38</definedName>
    <definedName name="T_PORDIA">'Parâmetros'!$C$31:$C$38</definedName>
    <definedName name="T_FIXO">'Parâmetros'!$D$31:$D$38</definedName>
    <definedName name="EX_NOMES">'Tabela de Exames'!$B$2:$B$283</definedName>
    <definedName name="EX_VALOR">'Tabela de Exames'!$D$2:$D$283</definedName>
    <definedName name="L_EMPRESA">Levantamento!$B$3</definedName>
    <definedName name="L_CNPJ">Levantamento!$B$4</definedName>
    <definedName name="L_LOCAL">Levantamento!$B$5</definedName>
    <definedName name="L_DIST">Levantamento!$B$6</definedName>
    <definedName name="L_PERNOITE">Levantamento!$B$7</definedName>
    <definedName name="L_DIAS">Levantamento!$B$10</definedName>
    <definedName name="L_GRAU">Levantamento!$F$3</definedName>
    <definedName name="L_NEMP">Levantamento!$F$4</definedName>
    <definedName name="L_RESP">Levantamento!$F$5</definedName>
    <definedName name="L_DATA">Levantamento!$F$6</definedName>
    <definedName name="L_TIPOLAUDO">Levantamento!$F$7</definedName>
    <definedName name="L_TOTAL_AV">Levantamento!$F$8</definedName>
    <definedName name="Excel_BuiltIn__FilterDatabase" localSheetId="1" hidden="0" function="0" vbProcedure="0">Laudos!$R$37:$AK$39</definedName>
    <definedName name="_xlnm._FilterDatabase" localSheetId="3" hidden="1">'Tabela de Exames'!$A$1:$E$283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9">
    <numFmt numFmtId="164" formatCode="0.00_)"/>
    <numFmt numFmtId="165" formatCode="[$-409]m/d/yyyy"/>
    <numFmt numFmtId="166" formatCode="0_)"/>
    <numFmt numFmtId="167" formatCode="[$-409]#,##0.00_);\(#,##0.00\)"/>
    <numFmt numFmtId="168" formatCode="_(&quot;R$&quot;* #,##0.00_);_(&quot;R$&quot;* \(#,##0.00\);_(&quot;R$&quot;* \-??_);_(@_)"/>
    <numFmt numFmtId="169" formatCode="#,##0.0"/>
    <numFmt numFmtId="170" formatCode="0.0%"/>
    <numFmt numFmtId="171" formatCode="DD/MM/YYYY"/>
    <numFmt numFmtId="172" formatCode="0.0"/>
  </numFmts>
  <fonts count="2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0080C0"/>
      <sz val="12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6.5"/>
    </font>
    <font>
      <name val="Arial"/>
      <family val="2"/>
      <b val="1"/>
      <sz val="7"/>
    </font>
    <font>
      <name val="Arial"/>
      <family val="2"/>
      <b val="1"/>
      <color rgb="FF0080C0"/>
      <sz val="9"/>
    </font>
    <font>
      <name val="Arial"/>
      <family val="2"/>
      <b val="1"/>
      <color rgb="FFFF0000"/>
      <sz val="9"/>
    </font>
    <font>
      <name val="Arial"/>
      <family val="2"/>
      <color rgb="FFFF0000"/>
      <sz val="9"/>
    </font>
    <font>
      <name val="Arial"/>
      <family val="2"/>
      <b val="1"/>
      <color rgb="FF333399"/>
      <sz val="9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b val="1"/>
      <sz val="10"/>
    </font>
    <font>
      <name val="Arial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001F4E78"/>
      </patternFill>
    </fill>
    <fill>
      <patternFill patternType="solid">
        <fgColor rgb="00FFFF99"/>
      </patternFill>
    </fill>
  </fills>
  <borders count="106">
    <border>
      <left/>
      <right/>
      <top/>
      <bottom/>
      <diagonal/>
    </border>
    <border>
      <left style="double"/>
      <right style="thin"/>
      <top style="double"/>
      <bottom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/>
      <right/>
      <top style="double"/>
      <bottom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/>
      <diagonal/>
    </border>
    <border>
      <left style="double"/>
      <right style="thin"/>
      <top/>
      <bottom style="thin"/>
      <diagonal/>
    </border>
    <border>
      <left style="double"/>
      <right style="thin"/>
      <top style="thin"/>
      <bottom style="double"/>
      <diagonal/>
    </border>
    <border>
      <left/>
      <right style="medium"/>
      <top/>
      <bottom style="double"/>
      <diagonal/>
    </border>
    <border>
      <left style="medium"/>
      <right style="thin"/>
      <top style="thin"/>
      <bottom style="double"/>
      <diagonal/>
    </border>
    <border>
      <left/>
      <right style="thin"/>
      <top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double"/>
      <top style="thin"/>
      <bottom style="double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/>
      <top/>
      <bottom style="medium"/>
      <diagonal/>
    </border>
    <border>
      <left/>
      <right style="double"/>
      <top/>
      <bottom style="medium"/>
      <diagonal/>
    </border>
    <border>
      <left style="double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double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double"/>
      <top/>
      <bottom style="thin"/>
      <diagonal/>
    </border>
    <border>
      <left style="double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thin"/>
      <diagonal/>
    </border>
    <border>
      <left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 style="medium"/>
      <right style="double"/>
      <top style="medium"/>
      <bottom style="medium"/>
      <diagonal/>
    </border>
    <border>
      <left/>
      <right/>
      <top style="thin"/>
      <bottom/>
      <diagonal/>
    </border>
    <border>
      <left/>
      <right style="double"/>
      <top style="thin"/>
      <bottom/>
      <diagonal/>
    </border>
    <border>
      <left style="medium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medium"/>
      <top/>
      <bottom/>
      <diagonal/>
    </border>
    <border>
      <left style="double"/>
      <right style="medium"/>
      <top style="medium"/>
      <bottom/>
      <diagonal/>
    </border>
    <border>
      <left/>
      <right/>
      <top/>
      <bottom style="medium"/>
      <diagonal/>
    </border>
    <border>
      <left style="thin"/>
      <right style="thin"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/>
      <right style="double"/>
      <top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/>
      <right style="double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double"/>
      <top style="medium"/>
      <bottom/>
      <diagonal/>
    </border>
    <border>
      <left style="double"/>
      <right/>
      <top/>
      <bottom style="thin"/>
      <diagonal/>
    </border>
    <border>
      <left style="medium"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double"/>
      <top style="medium"/>
      <bottom style="thin"/>
      <diagonal/>
    </border>
    <border>
      <left/>
      <right style="medium"/>
      <top style="thin"/>
      <bottom style="thin"/>
      <diagonal/>
    </border>
    <border>
      <left style="medium"/>
      <right style="medium"/>
      <top/>
      <bottom/>
      <diagonal/>
    </border>
    <border>
      <left style="medium"/>
      <right style="medium"/>
      <top style="thin"/>
      <bottom style="medium"/>
      <diagonal/>
    </border>
    <border>
      <left style="medium"/>
      <right style="double"/>
      <top style="thin"/>
      <bottom style="medium"/>
      <diagonal/>
    </border>
    <border>
      <left style="double"/>
      <right style="medium"/>
      <top style="thin"/>
      <bottom style="thin"/>
      <diagonal/>
    </border>
    <border>
      <left style="medium"/>
      <right style="medium"/>
      <top/>
      <bottom style="medium"/>
      <diagonal/>
    </border>
    <border>
      <left style="medium"/>
      <right style="double"/>
      <top/>
      <bottom style="medium"/>
      <diagonal/>
    </border>
    <border>
      <left style="thin"/>
      <right style="medium"/>
      <top style="thin"/>
      <bottom style="thin"/>
      <diagonal/>
    </border>
    <border>
      <left style="double"/>
      <right style="medium"/>
      <top/>
      <bottom style="double"/>
      <diagonal/>
    </border>
    <border>
      <left style="medium"/>
      <right/>
      <top style="thin"/>
      <bottom style="double"/>
      <diagonal/>
    </border>
    <border>
      <left/>
      <right/>
      <top style="thin"/>
      <bottom style="double"/>
      <diagonal/>
    </border>
    <border>
      <left/>
      <right style="double"/>
      <top style="thin"/>
      <bottom style="double"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double"/>
      <top style="double"/>
      <bottom/>
      <diagonal/>
    </border>
    <border>
      <left/>
      <right style="double"/>
      <top style="double"/>
      <bottom style="thin"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double"/>
      <diagonal/>
    </border>
    <border>
      <left/>
      <right style="medium"/>
      <top/>
      <bottom/>
      <diagonal/>
    </border>
    <border>
      <left/>
      <right/>
      <top/>
      <bottom style="double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double"/>
      <top style="medium"/>
      <bottom/>
      <diagonal/>
    </border>
    <border>
      <left/>
      <right style="medium"/>
      <top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double"/>
      <top style="thin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double"/>
      <top style="medium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medium"/>
      <diagonal/>
    </border>
    <border>
      <left/>
      <right style="double"/>
      <top style="thin"/>
      <bottom style="medium"/>
      <diagonal/>
    </border>
    <border>
      <left/>
      <right style="medium"/>
      <top/>
      <bottom style="medium"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6">
    <xf numFmtId="164" fontId="3" fillId="0" borderId="0" applyAlignment="1">
      <alignment horizontal="general" vertical="bottom"/>
    </xf>
    <xf numFmtId="43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283">
    <xf numFmtId="164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center"/>
    </xf>
    <xf numFmtId="164" fontId="4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164" fontId="5" fillId="2" borderId="1" applyAlignment="1" applyProtection="1" pivotButton="0" quotePrefix="0" xfId="0">
      <alignment horizontal="center" vertical="center"/>
      <protection locked="0" hidden="0"/>
    </xf>
    <xf numFmtId="164" fontId="6" fillId="0" borderId="2" applyAlignment="1" applyProtection="1" pivotButton="0" quotePrefix="0" xfId="0">
      <alignment horizontal="right" vertical="center"/>
      <protection locked="0" hidden="0"/>
    </xf>
    <xf numFmtId="164" fontId="6" fillId="0" borderId="3" applyAlignment="1" applyProtection="1" pivotButton="0" quotePrefix="0" xfId="0">
      <alignment horizontal="center" vertical="center"/>
      <protection locked="0" hidden="0"/>
    </xf>
    <xf numFmtId="164" fontId="0" fillId="0" borderId="4" applyAlignment="1" pivotButton="0" quotePrefix="0" xfId="0">
      <alignment horizontal="general" vertical="center"/>
    </xf>
    <xf numFmtId="164" fontId="6" fillId="2" borderId="5" applyAlignment="1" applyProtection="1" pivotButton="0" quotePrefix="0" xfId="0">
      <alignment horizontal="right" vertical="center"/>
      <protection locked="0" hidden="0"/>
    </xf>
    <xf numFmtId="49" fontId="7" fillId="2" borderId="6" applyAlignment="1" applyProtection="1" pivotButton="0" quotePrefix="0" xfId="0">
      <alignment horizontal="center" vertical="center"/>
      <protection locked="0" hidden="0"/>
    </xf>
    <xf numFmtId="164" fontId="6" fillId="0" borderId="6" applyAlignment="1" applyProtection="1" pivotButton="0" quotePrefix="0" xfId="0">
      <alignment horizontal="left" vertical="center"/>
      <protection locked="0" hidden="0"/>
    </xf>
    <xf numFmtId="165" fontId="8" fillId="0" borderId="7" applyAlignment="1" applyProtection="1" pivotButton="0" quotePrefix="0" xfId="0">
      <alignment horizontal="center" vertical="center"/>
      <protection locked="0" hidden="0"/>
    </xf>
    <xf numFmtId="1" fontId="9" fillId="2" borderId="8" applyAlignment="1" applyProtection="1" pivotButton="0" quotePrefix="0" xfId="0">
      <alignment horizontal="center" vertical="center"/>
      <protection locked="0" hidden="0"/>
    </xf>
    <xf numFmtId="164" fontId="6" fillId="0" borderId="9" applyAlignment="1" applyProtection="1" pivotButton="0" quotePrefix="0" xfId="0">
      <alignment horizontal="right" vertical="center"/>
      <protection locked="0" hidden="0"/>
    </xf>
    <xf numFmtId="164" fontId="9" fillId="0" borderId="10" applyAlignment="1" applyProtection="1" pivotButton="0" quotePrefix="0" xfId="0">
      <alignment horizontal="center" vertical="center" wrapText="1"/>
      <protection locked="0" hidden="0"/>
    </xf>
    <xf numFmtId="164" fontId="6" fillId="0" borderId="11" applyAlignment="1" applyProtection="1" pivotButton="0" quotePrefix="0" xfId="0">
      <alignment horizontal="right" vertical="center"/>
      <protection locked="0" hidden="0"/>
    </xf>
    <xf numFmtId="164" fontId="9" fillId="0" borderId="12" applyAlignment="1" applyProtection="1" pivotButton="0" quotePrefix="0" xfId="0">
      <alignment horizontal="center" vertical="center"/>
      <protection locked="0" hidden="0"/>
    </xf>
    <xf numFmtId="164" fontId="6" fillId="0" borderId="13" applyAlignment="1" applyProtection="1" pivotButton="0" quotePrefix="0" xfId="0">
      <alignment horizontal="right" vertical="center"/>
      <protection locked="0" hidden="0"/>
    </xf>
    <xf numFmtId="0" fontId="9" fillId="0" borderId="13" applyAlignment="1" applyProtection="1" pivotButton="0" quotePrefix="0" xfId="0">
      <alignment horizontal="left" vertical="center"/>
      <protection locked="0" hidden="0"/>
    </xf>
    <xf numFmtId="164" fontId="6" fillId="0" borderId="13" applyAlignment="1" applyProtection="1" pivotButton="0" quotePrefix="0" xfId="0">
      <alignment horizontal="left" vertical="center"/>
      <protection locked="0" hidden="0"/>
    </xf>
    <xf numFmtId="166" fontId="9" fillId="0" borderId="14" applyAlignment="1" applyProtection="1" pivotButton="0" quotePrefix="0" xfId="0">
      <alignment horizontal="center" vertical="center"/>
      <protection locked="0" hidden="0"/>
    </xf>
    <xf numFmtId="164" fontId="9" fillId="0" borderId="0" applyAlignment="1" pivotButton="0" quotePrefix="0" xfId="0">
      <alignment horizontal="general" vertical="center"/>
    </xf>
    <xf numFmtId="164" fontId="4" fillId="2" borderId="15" applyAlignment="1" applyProtection="1" pivotButton="0" quotePrefix="0" xfId="0">
      <alignment horizontal="left" vertical="center"/>
      <protection locked="0" hidden="0"/>
    </xf>
    <xf numFmtId="164" fontId="0" fillId="2" borderId="0" applyAlignment="1" applyProtection="1" pivotButton="0" quotePrefix="0" xfId="0">
      <alignment horizontal="general" vertical="bottom"/>
      <protection locked="0" hidden="0"/>
    </xf>
    <xf numFmtId="164" fontId="9" fillId="2" borderId="0" applyAlignment="1" applyProtection="1" pivotButton="0" quotePrefix="0" xfId="0">
      <alignment horizontal="left" vertical="center"/>
      <protection locked="0" hidden="0"/>
    </xf>
    <xf numFmtId="164" fontId="4" fillId="2" borderId="0" applyAlignment="1" applyProtection="1" pivotButton="0" quotePrefix="0" xfId="0">
      <alignment horizontal="left" vertical="center"/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166" fontId="9" fillId="2" borderId="0" applyAlignment="1" applyProtection="1" pivotButton="0" quotePrefix="0" xfId="0">
      <alignment horizontal="center" vertical="center"/>
      <protection locked="0" hidden="0"/>
    </xf>
    <xf numFmtId="164" fontId="0" fillId="2" borderId="16" applyAlignment="1" applyProtection="1" pivotButton="0" quotePrefix="0" xfId="0">
      <alignment horizontal="general" vertical="bottom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2" borderId="0" applyAlignment="1" applyProtection="1" pivotButton="0" quotePrefix="0" xfId="0">
      <alignment horizontal="center" vertical="center"/>
      <protection locked="0" hidden="0"/>
    </xf>
    <xf numFmtId="164" fontId="9" fillId="0" borderId="18" applyAlignment="1" applyProtection="1" pivotButton="0" quotePrefix="0" xfId="0">
      <alignment horizontal="center" vertical="center"/>
      <protection locked="0" hidden="0"/>
    </xf>
    <xf numFmtId="164" fontId="9" fillId="0" borderId="19" applyAlignment="1" applyProtection="1" pivotButton="0" quotePrefix="0" xfId="0">
      <alignment horizontal="center" vertical="center"/>
      <protection locked="0" hidden="0"/>
    </xf>
    <xf numFmtId="164" fontId="9" fillId="0" borderId="20" applyAlignment="1" applyProtection="1" pivotButton="0" quotePrefix="0" xfId="0">
      <alignment horizontal="center" vertical="center"/>
      <protection locked="0" hidden="0"/>
    </xf>
    <xf numFmtId="164" fontId="9" fillId="0" borderId="21" applyAlignment="1" applyProtection="1" pivotButton="0" quotePrefix="0" xfId="0">
      <alignment horizontal="center" vertical="center"/>
      <protection locked="0" hidden="0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4" fontId="9" fillId="0" borderId="22" applyAlignment="1" applyProtection="1" pivotButton="0" quotePrefix="0" xfId="0">
      <alignment horizontal="center" vertical="center"/>
      <protection locked="0" hidden="0"/>
    </xf>
    <xf numFmtId="164" fontId="9" fillId="0" borderId="23" applyAlignment="1" applyProtection="1" pivotButton="0" quotePrefix="0" xfId="0">
      <alignment horizontal="center" vertical="center"/>
      <protection locked="0" hidden="0"/>
    </xf>
    <xf numFmtId="164" fontId="10" fillId="0" borderId="8" applyAlignment="1" applyProtection="1" pivotButton="0" quotePrefix="0" xfId="0">
      <alignment horizontal="left" vertical="center"/>
      <protection locked="0" hidden="0"/>
    </xf>
    <xf numFmtId="166" fontId="8" fillId="0" borderId="24" applyAlignment="1" applyProtection="1" pivotButton="0" quotePrefix="0" xfId="0">
      <alignment horizontal="center" vertical="center"/>
      <protection locked="0" hidden="0"/>
    </xf>
    <xf numFmtId="2" fontId="8" fillId="0" borderId="24" applyAlignment="1" applyProtection="1" pivotButton="0" quotePrefix="0" xfId="17">
      <alignment horizontal="center" vertical="center"/>
      <protection locked="0" hidden="0"/>
    </xf>
    <xf numFmtId="4" fontId="8" fillId="0" borderId="25" applyAlignment="1" applyProtection="1" pivotButton="0" quotePrefix="0" xfId="17">
      <alignment horizontal="center" vertical="center"/>
      <protection locked="0" hidden="0"/>
    </xf>
    <xf numFmtId="164" fontId="10" fillId="0" borderId="26" applyAlignment="1" applyProtection="1" pivotButton="0" quotePrefix="0" xfId="0">
      <alignment horizontal="left" vertical="center"/>
      <protection locked="0" hidden="0"/>
    </xf>
    <xf numFmtId="3" fontId="8" fillId="0" borderId="24" applyAlignment="1" applyProtection="1" pivotButton="0" quotePrefix="0" xfId="0">
      <alignment horizontal="center" vertical="center"/>
      <protection locked="0" hidden="0"/>
    </xf>
    <xf numFmtId="4" fontId="8" fillId="0" borderId="24" applyAlignment="1" applyProtection="1" pivotButton="0" quotePrefix="0" xfId="17">
      <alignment horizontal="center" vertical="center"/>
      <protection locked="0" hidden="0"/>
    </xf>
    <xf numFmtId="4" fontId="8" fillId="0" borderId="27" applyAlignment="1" applyProtection="1" pivotButton="0" quotePrefix="0" xfId="17">
      <alignment horizontal="center" vertical="center"/>
      <protection locked="0" hidden="0"/>
    </xf>
    <xf numFmtId="164" fontId="10" fillId="0" borderId="28" applyAlignment="1" applyProtection="1" pivotButton="0" quotePrefix="0" xfId="0">
      <alignment horizontal="left" vertical="center"/>
      <protection locked="0" hidden="0"/>
    </xf>
    <xf numFmtId="166" fontId="8" fillId="0" borderId="29" applyAlignment="1" applyProtection="1" pivotButton="0" quotePrefix="0" xfId="0">
      <alignment horizontal="center" vertical="center"/>
      <protection locked="0" hidden="0"/>
    </xf>
    <xf numFmtId="2" fontId="8" fillId="0" borderId="29" applyAlignment="1" applyProtection="1" pivotButton="0" quotePrefix="0" xfId="17">
      <alignment horizontal="center" vertical="center"/>
      <protection locked="0" hidden="0"/>
    </xf>
    <xf numFmtId="3" fontId="8" fillId="0" borderId="6" applyAlignment="1" applyProtection="1" pivotButton="0" quotePrefix="0" xfId="0">
      <alignment horizontal="center" vertical="center"/>
      <protection locked="0" hidden="0"/>
    </xf>
    <xf numFmtId="4" fontId="8" fillId="0" borderId="6" applyAlignment="1" applyProtection="1" pivotButton="0" quotePrefix="0" xfId="17">
      <alignment horizontal="center" vertical="center"/>
      <protection locked="0" hidden="0"/>
    </xf>
    <xf numFmtId="4" fontId="8" fillId="0" borderId="30" applyAlignment="1" applyProtection="1" pivotButton="0" quotePrefix="0" xfId="17">
      <alignment horizontal="center" vertical="center"/>
      <protection locked="0" hidden="0"/>
    </xf>
    <xf numFmtId="164" fontId="9" fillId="0" borderId="15" applyAlignment="1" applyProtection="1" pivotButton="0" quotePrefix="0" xfId="0">
      <alignment horizontal="center" vertical="center"/>
      <protection locked="0" hidden="0"/>
    </xf>
    <xf numFmtId="2" fontId="9" fillId="3" borderId="21" applyAlignment="1" applyProtection="1" pivotButton="0" quotePrefix="0" xfId="17">
      <alignment horizontal="center" vertical="center"/>
      <protection locked="0" hidden="0"/>
    </xf>
    <xf numFmtId="164" fontId="11" fillId="0" borderId="17" applyAlignment="1" applyProtection="1" pivotButton="0" quotePrefix="0" xfId="0">
      <alignment horizontal="center" vertical="center"/>
      <protection locked="0" hidden="0"/>
    </xf>
    <xf numFmtId="164" fontId="11" fillId="2" borderId="0" applyAlignment="1" applyProtection="1" pivotButton="0" quotePrefix="0" xfId="0">
      <alignment horizontal="center" vertical="center"/>
      <protection locked="0" hidden="0"/>
    </xf>
    <xf numFmtId="164" fontId="10" fillId="0" borderId="31" applyAlignment="1" applyProtection="1" pivotButton="0" quotePrefix="0" xfId="0">
      <alignment horizontal="center" vertical="center"/>
      <protection locked="0" hidden="0"/>
    </xf>
    <xf numFmtId="164" fontId="9" fillId="0" borderId="32" applyAlignment="1" applyProtection="1" pivotButton="0" quotePrefix="0" xfId="0">
      <alignment horizontal="center" vertical="center"/>
      <protection locked="0" hidden="0"/>
    </xf>
    <xf numFmtId="4" fontId="9" fillId="3" borderId="33" applyAlignment="1" applyProtection="1" pivotButton="0" quotePrefix="0" xfId="17">
      <alignment horizontal="center" vertical="center"/>
      <protection locked="0" hidden="0"/>
    </xf>
    <xf numFmtId="2" fontId="9" fillId="0" borderId="20" applyAlignment="1" applyProtection="1" pivotButton="0" quotePrefix="0" xfId="17">
      <alignment horizontal="center" vertical="center"/>
      <protection locked="0" hidden="0"/>
    </xf>
    <xf numFmtId="164" fontId="10" fillId="0" borderId="0" applyAlignment="1" applyProtection="1" pivotButton="0" quotePrefix="0" xfId="0">
      <alignment horizontal="left" vertical="center"/>
      <protection locked="0" hidden="0"/>
    </xf>
    <xf numFmtId="3" fontId="8" fillId="0" borderId="0" applyAlignment="1" applyProtection="1" pivotButton="0" quotePrefix="0" xfId="0">
      <alignment horizontal="center" vertical="center"/>
      <protection locked="0" hidden="0"/>
    </xf>
    <xf numFmtId="167" fontId="8" fillId="0" borderId="34" applyAlignment="1" applyProtection="1" pivotButton="0" quotePrefix="0" xfId="17">
      <alignment horizontal="center" vertical="center"/>
      <protection locked="0" hidden="0"/>
    </xf>
    <xf numFmtId="168" fontId="8" fillId="0" borderId="35" applyAlignment="1" applyProtection="1" pivotButton="0" quotePrefix="0" xfId="17">
      <alignment horizontal="center" vertical="center"/>
      <protection locked="0" hidden="0"/>
    </xf>
    <xf numFmtId="169" fontId="8" fillId="0" borderId="24" applyAlignment="1" applyProtection="1" pivotButton="0" quotePrefix="0" xfId="0">
      <alignment horizontal="center" vertical="center"/>
      <protection locked="0" hidden="0"/>
    </xf>
    <xf numFmtId="164" fontId="8" fillId="2" borderId="0" applyAlignment="1" applyProtection="1" pivotButton="0" quotePrefix="0" xfId="0">
      <alignment horizontal="center" vertical="center"/>
      <protection locked="0" hidden="0"/>
    </xf>
    <xf numFmtId="164" fontId="12" fillId="0" borderId="18" applyAlignment="1" applyProtection="1" pivotButton="0" quotePrefix="0" xfId="0">
      <alignment horizontal="center" vertical="center"/>
      <protection locked="0" hidden="0"/>
    </xf>
    <xf numFmtId="164" fontId="10" fillId="0" borderId="5" applyAlignment="1" applyProtection="1" pivotButton="0" quotePrefix="0" xfId="0">
      <alignment horizontal="left" vertical="center"/>
      <protection locked="0" hidden="0"/>
    </xf>
    <xf numFmtId="169" fontId="8" fillId="0" borderId="6" applyAlignment="1" applyProtection="1" pivotButton="0" quotePrefix="0" xfId="0">
      <alignment horizontal="center" vertical="center"/>
      <protection locked="0" hidden="0"/>
    </xf>
    <xf numFmtId="164" fontId="10" fillId="0" borderId="36" applyAlignment="1" applyProtection="1" pivotButton="0" quotePrefix="0" xfId="0">
      <alignment horizontal="left" vertical="center"/>
      <protection locked="0" hidden="0"/>
    </xf>
    <xf numFmtId="3" fontId="8" fillId="2" borderId="24" applyAlignment="1" applyProtection="1" pivotButton="0" quotePrefix="0" xfId="0">
      <alignment horizontal="center" vertical="center"/>
      <protection locked="0" hidden="0"/>
    </xf>
    <xf numFmtId="4" fontId="8" fillId="2" borderId="24" applyAlignment="1" applyProtection="1" pivotButton="0" quotePrefix="0" xfId="17">
      <alignment horizontal="center" vertical="center"/>
      <protection locked="0" hidden="0"/>
    </xf>
    <xf numFmtId="4" fontId="8" fillId="2" borderId="27" applyAlignment="1" applyProtection="1" pivotButton="0" quotePrefix="0" xfId="17">
      <alignment horizontal="center" vertical="center"/>
      <protection locked="0" hidden="0"/>
    </xf>
    <xf numFmtId="164" fontId="10" fillId="0" borderId="37" applyAlignment="1" applyProtection="1" pivotButton="0" quotePrefix="0" xfId="0">
      <alignment horizontal="left" vertical="center"/>
      <protection locked="0" hidden="0"/>
    </xf>
    <xf numFmtId="164" fontId="13" fillId="2" borderId="0" applyAlignment="1" applyProtection="1" pivotButton="0" quotePrefix="0" xfId="0">
      <alignment horizontal="center" vertical="center"/>
      <protection locked="0" hidden="0"/>
    </xf>
    <xf numFmtId="164" fontId="10" fillId="2" borderId="36" applyAlignment="1" applyProtection="1" pivotButton="0" quotePrefix="0" xfId="0">
      <alignment horizontal="left" vertical="center"/>
      <protection locked="0" hidden="0"/>
    </xf>
    <xf numFmtId="169" fontId="8" fillId="0" borderId="29" applyAlignment="1" applyProtection="1" pivotButton="0" quotePrefix="0" xfId="0">
      <alignment horizontal="center" vertical="center"/>
      <protection locked="0" hidden="0"/>
    </xf>
    <xf numFmtId="4" fontId="8" fillId="0" borderId="38" applyAlignment="1" applyProtection="1" pivotButton="0" quotePrefix="0" xfId="17">
      <alignment horizontal="center" vertical="center"/>
      <protection locked="0" hidden="0"/>
    </xf>
    <xf numFmtId="164" fontId="10" fillId="2" borderId="36" applyAlignment="1" applyProtection="1" pivotButton="0" quotePrefix="0" xfId="0">
      <alignment horizontal="left" vertical="center" wrapText="1"/>
      <protection locked="0" hidden="0"/>
    </xf>
    <xf numFmtId="164" fontId="8" fillId="0" borderId="39" applyAlignment="1" applyProtection="1" pivotButton="0" quotePrefix="0" xfId="0">
      <alignment horizontal="center" vertical="center"/>
      <protection locked="0" hidden="0"/>
    </xf>
    <xf numFmtId="2" fontId="8" fillId="0" borderId="22" applyAlignment="1" applyProtection="1" pivotButton="0" quotePrefix="0" xfId="17">
      <alignment horizontal="center" vertical="center"/>
      <protection locked="0" hidden="0"/>
    </xf>
    <xf numFmtId="4" fontId="9" fillId="3" borderId="21" applyAlignment="1" applyProtection="1" pivotButton="0" quotePrefix="0" xfId="17">
      <alignment horizontal="center" vertical="center"/>
      <protection locked="0" hidden="0"/>
    </xf>
    <xf numFmtId="164" fontId="10" fillId="2" borderId="26" applyAlignment="1" applyProtection="1" pivotButton="0" quotePrefix="0" xfId="0">
      <alignment horizontal="left" vertical="center"/>
      <protection locked="0" hidden="0"/>
    </xf>
    <xf numFmtId="164" fontId="10" fillId="0" borderId="17" applyAlignment="1" applyProtection="1" pivotButton="0" quotePrefix="0" xfId="0">
      <alignment horizontal="left" vertical="center"/>
      <protection locked="0" hidden="0"/>
    </xf>
    <xf numFmtId="169" fontId="8" fillId="0" borderId="40" applyAlignment="1" applyProtection="1" pivotButton="0" quotePrefix="0" xfId="0">
      <alignment horizontal="center" vertical="center"/>
      <protection locked="0" hidden="0"/>
    </xf>
    <xf numFmtId="168" fontId="8" fillId="0" borderId="40" applyAlignment="1" applyProtection="1" pivotButton="0" quotePrefix="0" xfId="17">
      <alignment horizontal="center" vertical="center"/>
      <protection locked="0" hidden="0"/>
    </xf>
    <xf numFmtId="3" fontId="8" fillId="2" borderId="6" applyAlignment="1" applyProtection="1" pivotButton="0" quotePrefix="0" xfId="0">
      <alignment horizontal="center" vertical="center"/>
      <protection locked="0" hidden="0"/>
    </xf>
    <xf numFmtId="164" fontId="10" fillId="0" borderId="28" applyAlignment="1" applyProtection="1" pivotButton="0" quotePrefix="0" xfId="0">
      <alignment horizontal="general" vertical="center"/>
      <protection locked="0" hidden="0"/>
    </xf>
    <xf numFmtId="2" fontId="8" fillId="0" borderId="41" applyAlignment="1" applyProtection="1" pivotButton="0" quotePrefix="0" xfId="17">
      <alignment horizontal="center" vertical="center"/>
      <protection locked="0" hidden="0"/>
    </xf>
    <xf numFmtId="2" fontId="9" fillId="0" borderId="22" applyAlignment="1" applyProtection="1" pivotButton="0" quotePrefix="0" xfId="17">
      <alignment horizontal="center" vertical="center"/>
      <protection locked="0" hidden="0"/>
    </xf>
    <xf numFmtId="164" fontId="14" fillId="0" borderId="17" applyAlignment="1" applyProtection="1" pivotButton="0" quotePrefix="0" xfId="0">
      <alignment horizontal="center" vertical="center"/>
      <protection locked="0" hidden="0"/>
    </xf>
    <xf numFmtId="166" fontId="8" fillId="2" borderId="0" applyAlignment="1" applyProtection="1" pivotButton="0" quotePrefix="0" xfId="0">
      <alignment horizontal="center" vertical="center"/>
      <protection locked="0" hidden="0"/>
    </xf>
    <xf numFmtId="164" fontId="8" fillId="0" borderId="15" applyAlignment="1" applyProtection="1" pivotButton="0" quotePrefix="0" xfId="0">
      <alignment horizontal="center" vertical="center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2" fontId="9" fillId="0" borderId="0" applyAlignment="1" applyProtection="1" pivotButton="0" quotePrefix="0" xfId="17">
      <alignment horizontal="center" vertical="center"/>
      <protection locked="0" hidden="0"/>
    </xf>
    <xf numFmtId="2" fontId="6" fillId="0" borderId="0" applyAlignment="1" applyProtection="1" pivotButton="0" quotePrefix="0" xfId="0">
      <alignment horizontal="general" vertical="bottom"/>
      <protection locked="0" hidden="0"/>
    </xf>
    <xf numFmtId="4" fontId="9" fillId="0" borderId="0" applyAlignment="1" applyProtection="1" pivotButton="0" quotePrefix="0" xfId="17">
      <alignment horizontal="center" vertical="center"/>
      <protection locked="0" hidden="0"/>
    </xf>
    <xf numFmtId="164" fontId="10" fillId="2" borderId="42" applyAlignment="1" applyProtection="1" pivotButton="0" quotePrefix="0" xfId="0">
      <alignment horizontal="left" vertical="center"/>
      <protection locked="0" hidden="0"/>
    </xf>
    <xf numFmtId="164" fontId="10" fillId="2" borderId="43" applyAlignment="1" applyProtection="1" pivotButton="0" quotePrefix="0" xfId="0">
      <alignment horizontal="left" vertical="center"/>
      <protection locked="0" hidden="0"/>
    </xf>
    <xf numFmtId="164" fontId="10" fillId="2" borderId="44" applyAlignment="1" applyProtection="1" pivotButton="0" quotePrefix="0" xfId="0">
      <alignment horizontal="left" vertical="center"/>
      <protection locked="0" hidden="0"/>
    </xf>
    <xf numFmtId="3" fontId="0" fillId="2" borderId="6" applyAlignment="1" applyProtection="1" pivotButton="0" quotePrefix="0" xfId="0">
      <alignment horizontal="center" vertical="bottom"/>
      <protection locked="0" hidden="0"/>
    </xf>
    <xf numFmtId="164" fontId="10" fillId="2" borderId="45" applyAlignment="1" applyProtection="1" pivotButton="0" quotePrefix="0" xfId="0">
      <alignment horizontal="center" vertical="center"/>
      <protection locked="0" hidden="0"/>
    </xf>
    <xf numFmtId="3" fontId="8" fillId="2" borderId="46" applyAlignment="1" applyProtection="1" pivotButton="0" quotePrefix="0" xfId="0">
      <alignment horizontal="center" vertical="center"/>
      <protection locked="0" hidden="0"/>
    </xf>
    <xf numFmtId="3" fontId="0" fillId="2" borderId="47" applyAlignment="1" applyProtection="1" pivotButton="0" quotePrefix="0" xfId="0">
      <alignment horizontal="general" vertical="bottom"/>
      <protection locked="0" hidden="0"/>
    </xf>
    <xf numFmtId="3" fontId="0" fillId="2" borderId="48" applyAlignment="1" applyProtection="1" pivotButton="0" quotePrefix="0" xfId="0">
      <alignment horizontal="general" vertical="bottom"/>
      <protection locked="0" hidden="0"/>
    </xf>
    <xf numFmtId="4" fontId="8" fillId="0" borderId="49" applyAlignment="1" applyProtection="1" pivotButton="0" quotePrefix="0" xfId="17">
      <alignment horizontal="center" vertical="center"/>
      <protection locked="0" hidden="0"/>
    </xf>
    <xf numFmtId="4" fontId="8" fillId="0" borderId="43" applyAlignment="1" applyProtection="1" pivotButton="0" quotePrefix="0" xfId="17">
      <alignment horizontal="center" vertical="center"/>
      <protection locked="0" hidden="0"/>
    </xf>
    <xf numFmtId="4" fontId="8" fillId="0" borderId="44" applyAlignment="1" applyProtection="1" pivotButton="0" quotePrefix="0" xfId="17">
      <alignment horizontal="center" vertical="center"/>
      <protection locked="0" hidden="0"/>
    </xf>
    <xf numFmtId="4" fontId="8" fillId="2" borderId="49" applyAlignment="1" applyProtection="1" pivotButton="0" quotePrefix="0" xfId="17">
      <alignment horizontal="center" vertical="center"/>
      <protection locked="0" hidden="0"/>
    </xf>
    <xf numFmtId="4" fontId="8" fillId="2" borderId="43" applyAlignment="1" applyProtection="1" pivotButton="0" quotePrefix="0" xfId="17">
      <alignment horizontal="center" vertical="center"/>
      <protection locked="0" hidden="0"/>
    </xf>
    <xf numFmtId="4" fontId="8" fillId="2" borderId="50" applyAlignment="1" applyProtection="1" pivotButton="0" quotePrefix="0" xfId="17">
      <alignment horizontal="center" vertical="center"/>
      <protection locked="0" hidden="0"/>
    </xf>
    <xf numFmtId="4" fontId="8" fillId="0" borderId="51" applyAlignment="1" applyProtection="1" pivotButton="0" quotePrefix="0" xfId="17">
      <alignment horizontal="center" vertical="center"/>
      <protection locked="0" hidden="0"/>
    </xf>
    <xf numFmtId="164" fontId="10" fillId="0" borderId="52" applyAlignment="1" applyProtection="1" pivotButton="0" quotePrefix="0" xfId="0">
      <alignment horizontal="left" vertical="center"/>
      <protection locked="0" hidden="0"/>
    </xf>
    <xf numFmtId="3" fontId="8" fillId="0" borderId="29" applyAlignment="1" applyProtection="1" pivotButton="0" quotePrefix="0" xfId="0">
      <alignment horizontal="center" vertical="center"/>
      <protection locked="0" hidden="0"/>
    </xf>
    <xf numFmtId="4" fontId="8" fillId="0" borderId="29" applyAlignment="1" applyProtection="1" pivotButton="0" quotePrefix="0" xfId="17">
      <alignment horizontal="center" vertical="center"/>
      <protection locked="0" hidden="0"/>
    </xf>
    <xf numFmtId="164" fontId="9" fillId="0" borderId="53" applyAlignment="1" applyProtection="1" pivotButton="0" quotePrefix="0" xfId="0">
      <alignment horizontal="center" vertical="center"/>
      <protection locked="0" hidden="0"/>
    </xf>
    <xf numFmtId="164" fontId="9" fillId="0" borderId="40" applyAlignment="1" applyProtection="1" pivotButton="0" quotePrefix="0" xfId="0">
      <alignment horizontal="left" vertical="center"/>
      <protection locked="0" hidden="0"/>
    </xf>
    <xf numFmtId="168" fontId="9" fillId="0" borderId="54" applyAlignment="1" applyProtection="1" pivotButton="0" quotePrefix="0" xfId="17">
      <alignment horizontal="center" vertical="center"/>
      <protection locked="0" hidden="0"/>
    </xf>
    <xf numFmtId="164" fontId="10" fillId="0" borderId="39" applyAlignment="1" applyProtection="1" pivotButton="0" quotePrefix="0" xfId="0">
      <alignment horizontal="center" vertical="center"/>
      <protection locked="0" hidden="0"/>
    </xf>
    <xf numFmtId="168" fontId="9" fillId="0" borderId="22" applyAlignment="1" applyProtection="1" pivotButton="0" quotePrefix="0" xfId="17">
      <alignment horizontal="center" vertical="center"/>
      <protection locked="0" hidden="0"/>
    </xf>
    <xf numFmtId="164" fontId="8" fillId="2" borderId="0" applyAlignment="1" applyProtection="1" pivotButton="0" quotePrefix="0" xfId="0">
      <alignment horizontal="left" vertical="center"/>
      <protection locked="0" hidden="0"/>
    </xf>
    <xf numFmtId="164" fontId="9" fillId="0" borderId="55" applyAlignment="1" applyProtection="1" pivotButton="0" quotePrefix="0" xfId="0">
      <alignment horizontal="left" vertical="center"/>
      <protection locked="0" hidden="0"/>
    </xf>
    <xf numFmtId="4" fontId="9" fillId="4" borderId="56" applyAlignment="1" applyProtection="1" pivotButton="0" quotePrefix="0" xfId="17">
      <alignment horizontal="center" vertical="center"/>
      <protection locked="0" hidden="0"/>
    </xf>
    <xf numFmtId="164" fontId="11" fillId="0" borderId="57" applyAlignment="1" applyProtection="1" pivotButton="0" quotePrefix="0" xfId="0">
      <alignment horizontal="general" vertical="center"/>
      <protection locked="0" hidden="0"/>
    </xf>
    <xf numFmtId="164" fontId="8" fillId="2" borderId="58" applyAlignment="1" applyProtection="1" pivotButton="0" quotePrefix="0" xfId="0">
      <alignment horizontal="right" vertical="center"/>
      <protection locked="0" hidden="0"/>
    </xf>
    <xf numFmtId="170" fontId="15" fillId="2" borderId="59" applyAlignment="1" applyProtection="1" pivotButton="0" quotePrefix="0" xfId="17">
      <alignment horizontal="center" vertical="center"/>
      <protection locked="0" hidden="0"/>
    </xf>
    <xf numFmtId="4" fontId="8" fillId="2" borderId="60" applyAlignment="1" applyProtection="1" pivotButton="0" quotePrefix="0" xfId="17">
      <alignment horizontal="center" vertical="center"/>
      <protection locked="0" hidden="0"/>
    </xf>
    <xf numFmtId="164" fontId="11" fillId="0" borderId="5" applyAlignment="1" applyProtection="1" pivotButton="0" quotePrefix="0" xfId="0">
      <alignment horizontal="center" vertical="center"/>
      <protection locked="0" hidden="0"/>
    </xf>
    <xf numFmtId="164" fontId="11" fillId="5" borderId="61" applyAlignment="1" applyProtection="1" pivotButton="0" quotePrefix="0" xfId="0">
      <alignment horizontal="center" vertical="center"/>
      <protection locked="0" hidden="0"/>
    </xf>
    <xf numFmtId="164" fontId="8" fillId="2" borderId="62" applyAlignment="1" applyProtection="1" pivotButton="0" quotePrefix="0" xfId="0">
      <alignment horizontal="left" vertical="center"/>
      <protection locked="0" hidden="0"/>
    </xf>
    <xf numFmtId="170" fontId="16" fillId="2" borderId="63" applyAlignment="1" applyProtection="1" pivotButton="0" quotePrefix="0" xfId="17">
      <alignment horizontal="center" vertical="center"/>
      <protection locked="0" hidden="0"/>
    </xf>
    <xf numFmtId="4" fontId="17" fillId="2" borderId="64" applyAlignment="1" applyProtection="1" pivotButton="0" quotePrefix="0" xfId="17">
      <alignment horizontal="center" vertical="center"/>
      <protection locked="0" hidden="0"/>
    </xf>
    <xf numFmtId="164" fontId="11" fillId="0" borderId="65" applyAlignment="1" applyProtection="1" pivotButton="0" quotePrefix="0" xfId="0">
      <alignment horizontal="center" vertical="center"/>
      <protection locked="0" hidden="0"/>
    </xf>
    <xf numFmtId="164" fontId="11" fillId="2" borderId="58" applyAlignment="1" applyProtection="1" pivotButton="0" quotePrefix="0" xfId="0">
      <alignment horizontal="left" vertical="center"/>
      <protection locked="0" hidden="0"/>
    </xf>
    <xf numFmtId="170" fontId="18" fillId="2" borderId="33" applyAlignment="1" applyProtection="1" pivotButton="0" quotePrefix="0" xfId="17">
      <alignment horizontal="center" vertical="center"/>
      <protection locked="0" hidden="0"/>
    </xf>
    <xf numFmtId="164" fontId="11" fillId="2" borderId="0" applyAlignment="1" applyProtection="1" pivotButton="0" quotePrefix="0" xfId="0">
      <alignment horizontal="left" vertical="center"/>
      <protection locked="0" hidden="0"/>
    </xf>
    <xf numFmtId="164" fontId="9" fillId="2" borderId="66" applyAlignment="1" applyProtection="1" pivotButton="0" quotePrefix="0" xfId="0">
      <alignment horizontal="left" vertical="center"/>
      <protection locked="0" hidden="0"/>
    </xf>
    <xf numFmtId="4" fontId="9" fillId="2" borderId="67" applyAlignment="1" applyProtection="1" pivotButton="0" quotePrefix="0" xfId="17">
      <alignment horizontal="center" vertical="center"/>
      <protection locked="0" hidden="0"/>
    </xf>
    <xf numFmtId="164" fontId="11" fillId="0" borderId="68" applyAlignment="1" applyProtection="1" pivotButton="0" quotePrefix="0" xfId="0">
      <alignment horizontal="left" vertical="center"/>
      <protection locked="0" hidden="0"/>
    </xf>
    <xf numFmtId="164" fontId="10" fillId="0" borderId="16" applyAlignment="1" applyProtection="1" pivotButton="0" quotePrefix="0" xfId="0">
      <alignment horizontal="left" vertical="center"/>
      <protection locked="0" hidden="0"/>
    </xf>
    <xf numFmtId="164" fontId="10" fillId="2" borderId="69" applyAlignment="1" applyProtection="1" pivotButton="0" quotePrefix="0" xfId="0">
      <alignment horizontal="left" vertical="center"/>
      <protection locked="0" hidden="0"/>
    </xf>
    <xf numFmtId="164" fontId="10" fillId="2" borderId="70" applyAlignment="1" applyProtection="1" pivotButton="0" quotePrefix="0" xfId="0">
      <alignment horizontal="left" vertical="center"/>
      <protection locked="0" hidden="0"/>
    </xf>
    <xf numFmtId="164" fontId="0" fillId="0" borderId="71" applyAlignment="1" pivotButton="0" quotePrefix="0" xfId="0">
      <alignment horizontal="general" vertical="center"/>
    </xf>
    <xf numFmtId="164" fontId="0" fillId="0" borderId="72" applyAlignment="1" pivotButton="0" quotePrefix="0" xfId="0">
      <alignment horizontal="general" vertical="center"/>
    </xf>
    <xf numFmtId="0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23" fillId="7" borderId="102" pivotButton="0" quotePrefix="0" xfId="0"/>
    <xf numFmtId="0" fontId="0" fillId="0" borderId="105" pivotButton="0" quotePrefix="0" xfId="0"/>
    <xf numFmtId="0" fontId="23" fillId="7" borderId="102" applyAlignment="1" pivotButton="0" quotePrefix="0" xfId="0">
      <alignment horizontal="left"/>
    </xf>
    <xf numFmtId="171" fontId="23" fillId="7" borderId="102" pivotButton="0" quotePrefix="0" xfId="0"/>
    <xf numFmtId="0" fontId="22" fillId="0" borderId="102" applyAlignment="1" pivotButton="0" quotePrefix="0" xfId="0">
      <alignment horizontal="left"/>
    </xf>
    <xf numFmtId="4" fontId="22" fillId="0" borderId="102" applyAlignment="1" pivotButton="0" quotePrefix="0" xfId="0">
      <alignment horizontal="left"/>
    </xf>
    <xf numFmtId="0" fontId="21" fillId="6" borderId="102" applyAlignment="1" pivotButton="0" quotePrefix="0" xfId="0">
      <alignment horizontal="center" vertical="center" wrapText="1"/>
    </xf>
    <xf numFmtId="0" fontId="22" fillId="0" borderId="102" pivotButton="0" quotePrefix="0" xfId="0"/>
    <xf numFmtId="4" fontId="22" fillId="0" borderId="102" pivotButton="0" quotePrefix="0" xfId="0"/>
    <xf numFmtId="172" fontId="22" fillId="0" borderId="102" pivotButton="0" quotePrefix="0" xfId="0"/>
    <xf numFmtId="0" fontId="26" fillId="0" borderId="102" pivotButton="0" quotePrefix="0" xfId="0"/>
    <xf numFmtId="2" fontId="26" fillId="0" borderId="102" pivotButton="0" quotePrefix="0" xfId="0"/>
    <xf numFmtId="0" fontId="0" fillId="0" borderId="4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4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0" fontId="0" fillId="0" borderId="77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49" fontId="7" fillId="2" borderId="6" applyAlignment="1" applyProtection="1" pivotButton="0" quotePrefix="0" xfId="0">
      <alignment horizontal="center" vertical="center"/>
      <protection locked="0" hidden="0"/>
    </xf>
    <xf numFmtId="0" fontId="0" fillId="0" borderId="78" applyProtection="1" pivotButton="0" quotePrefix="0" xfId="0">
      <protection locked="0" hidden="0"/>
    </xf>
    <xf numFmtId="171" fontId="8" fillId="0" borderId="7" applyAlignment="1" applyProtection="1" pivotButton="0" quotePrefix="0" xfId="0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1" fontId="9" fillId="2" borderId="8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7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81" applyProtection="1" pivotButton="0" quotePrefix="0" xfId="0">
      <protection locked="0" hidden="0"/>
    </xf>
    <xf numFmtId="0" fontId="0" fillId="0" borderId="8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9" fillId="0" borderId="13" applyAlignment="1" applyProtection="1" pivotButton="0" quotePrefix="0" xfId="0">
      <alignment horizontal="left" vertical="center"/>
      <protection locked="0" hidden="0"/>
    </xf>
    <xf numFmtId="166" fontId="9" fillId="0" borderId="14" applyAlignment="1" applyProtection="1" pivotButton="0" quotePrefix="0" xfId="0">
      <alignment horizontal="center" vertical="center"/>
      <protection locked="0" hidden="0"/>
    </xf>
    <xf numFmtId="0" fontId="0" fillId="0" borderId="72" applyProtection="1" pivotButton="0" quotePrefix="0" xfId="0">
      <protection locked="0" hidden="0"/>
    </xf>
    <xf numFmtId="0" fontId="9" fillId="2" borderId="0" applyAlignment="1" applyProtection="1" pivotButton="0" quotePrefix="0" xfId="0">
      <alignment horizontal="left" vertical="center"/>
      <protection locked="0" hidden="0"/>
    </xf>
    <xf numFmtId="166" fontId="9" fillId="2" borderId="0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86" applyProtection="1" pivotButton="0" quotePrefix="0" xfId="0">
      <protection locked="0" hidden="0"/>
    </xf>
    <xf numFmtId="0" fontId="0" fillId="0" borderId="87" applyProtection="1" pivotButton="0" quotePrefix="0" xfId="0">
      <protection locked="0" hidden="0"/>
    </xf>
    <xf numFmtId="0" fontId="0" fillId="0" borderId="88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166" fontId="8" fillId="0" borderId="24" applyAlignment="1" applyProtection="1" pivotButton="0" quotePrefix="0" xfId="0">
      <alignment horizontal="center" vertical="center"/>
      <protection locked="0" hidden="0"/>
    </xf>
    <xf numFmtId="2" fontId="8" fillId="0" borderId="24" applyAlignment="1" applyProtection="1" pivotButton="0" quotePrefix="0" xfId="17">
      <alignment horizontal="center" vertical="center"/>
      <protection locked="0" hidden="0"/>
    </xf>
    <xf numFmtId="4" fontId="8" fillId="0" borderId="25" applyAlignment="1" applyProtection="1" pivotButton="0" quotePrefix="0" xfId="17">
      <alignment horizontal="center" vertical="center"/>
      <protection locked="0" hidden="0"/>
    </xf>
    <xf numFmtId="0" fontId="0" fillId="0" borderId="90" applyProtection="1" pivotButton="0" quotePrefix="0" xfId="0">
      <protection locked="0" hidden="0"/>
    </xf>
    <xf numFmtId="3" fontId="8" fillId="0" borderId="24" applyAlignment="1" applyProtection="1" pivotButton="0" quotePrefix="0" xfId="0">
      <alignment horizontal="center" vertical="center"/>
      <protection locked="0" hidden="0"/>
    </xf>
    <xf numFmtId="4" fontId="8" fillId="0" borderId="24" applyAlignment="1" applyProtection="1" pivotButton="0" quotePrefix="0" xfId="17">
      <alignment horizontal="center" vertical="center"/>
      <protection locked="0" hidden="0"/>
    </xf>
    <xf numFmtId="4" fontId="8" fillId="0" borderId="27" applyAlignment="1" applyProtection="1" pivotButton="0" quotePrefix="0" xfId="17">
      <alignment horizontal="center" vertical="center"/>
      <protection locked="0" hidden="0"/>
    </xf>
    <xf numFmtId="0" fontId="0" fillId="0" borderId="50" applyProtection="1" pivotButton="0" quotePrefix="0" xfId="0">
      <protection locked="0" hidden="0"/>
    </xf>
    <xf numFmtId="0" fontId="0" fillId="0" borderId="91" applyProtection="1" pivotButton="0" quotePrefix="0" xfId="0">
      <protection locked="0" hidden="0"/>
    </xf>
    <xf numFmtId="0" fontId="0" fillId="0" borderId="92" applyProtection="1" pivotButton="0" quotePrefix="0" xfId="0">
      <protection locked="0" hidden="0"/>
    </xf>
    <xf numFmtId="166" fontId="8" fillId="0" borderId="29" applyAlignment="1" applyProtection="1" pivotButton="0" quotePrefix="0" xfId="0">
      <alignment horizontal="center" vertical="center"/>
      <protection locked="0" hidden="0"/>
    </xf>
    <xf numFmtId="2" fontId="8" fillId="0" borderId="29" applyAlignment="1" applyProtection="1" pivotButton="0" quotePrefix="0" xfId="17">
      <alignment horizontal="center" vertical="center"/>
      <protection locked="0" hidden="0"/>
    </xf>
    <xf numFmtId="3" fontId="8" fillId="0" borderId="6" applyAlignment="1" applyProtection="1" pivotButton="0" quotePrefix="0" xfId="0">
      <alignment horizontal="center" vertical="center"/>
      <protection locked="0" hidden="0"/>
    </xf>
    <xf numFmtId="4" fontId="8" fillId="0" borderId="6" applyAlignment="1" applyProtection="1" pivotButton="0" quotePrefix="0" xfId="17">
      <alignment horizontal="center" vertical="center"/>
      <protection locked="0" hidden="0"/>
    </xf>
    <xf numFmtId="4" fontId="8" fillId="0" borderId="30" applyAlignment="1" applyProtection="1" pivotButton="0" quotePrefix="0" xfId="17">
      <alignment horizontal="center" vertical="center"/>
      <protection locked="0" hidden="0"/>
    </xf>
    <xf numFmtId="0" fontId="0" fillId="0" borderId="93" applyProtection="1" pivotButton="0" quotePrefix="0" xfId="0">
      <protection locked="0" hidden="0"/>
    </xf>
    <xf numFmtId="2" fontId="9" fillId="3" borderId="21" applyAlignment="1" applyProtection="1" pivotButton="0" quotePrefix="0" xfId="17">
      <alignment horizontal="center" vertical="center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4" fontId="9" fillId="3" borderId="33" applyAlignment="1" applyProtection="1" pivotButton="0" quotePrefix="0" xfId="17">
      <alignment horizontal="center" vertical="center"/>
      <protection locked="0" hidden="0"/>
    </xf>
    <xf numFmtId="2" fontId="9" fillId="0" borderId="20" applyAlignment="1" applyProtection="1" pivotButton="0" quotePrefix="0" xfId="17">
      <alignment horizontal="center" vertical="center"/>
      <protection locked="0" hidden="0"/>
    </xf>
    <xf numFmtId="3" fontId="8" fillId="0" borderId="0" applyAlignment="1" applyProtection="1" pivotButton="0" quotePrefix="0" xfId="0">
      <alignment horizontal="center" vertical="center"/>
      <protection locked="0" hidden="0"/>
    </xf>
    <xf numFmtId="167" fontId="8" fillId="0" borderId="34" applyAlignment="1" applyProtection="1" pivotButton="0" quotePrefix="0" xfId="17">
      <alignment horizontal="center" vertical="center"/>
      <protection locked="0" hidden="0"/>
    </xf>
    <xf numFmtId="168" fontId="8" fillId="0" borderId="35" applyAlignment="1" applyProtection="1" pivotButton="0" quotePrefix="0" xfId="17">
      <alignment horizontal="center" vertical="center"/>
      <protection locked="0" hidden="0"/>
    </xf>
    <xf numFmtId="169" fontId="8" fillId="0" borderId="24" applyAlignment="1" applyProtection="1" pivotButton="0" quotePrefix="0" xfId="0">
      <alignment horizontal="center" vertical="center"/>
      <protection locked="0" hidden="0"/>
    </xf>
    <xf numFmtId="169" fontId="8" fillId="0" borderId="6" applyAlignment="1" applyProtection="1" pivotButton="0" quotePrefix="0" xfId="0">
      <alignment horizontal="center" vertical="center"/>
      <protection locked="0" hidden="0"/>
    </xf>
    <xf numFmtId="3" fontId="8" fillId="2" borderId="24" applyAlignment="1" applyProtection="1" pivotButton="0" quotePrefix="0" xfId="0">
      <alignment horizontal="center" vertical="center"/>
      <protection locked="0" hidden="0"/>
    </xf>
    <xf numFmtId="4" fontId="8" fillId="2" borderId="24" applyAlignment="1" applyProtection="1" pivotButton="0" quotePrefix="0" xfId="17">
      <alignment horizontal="center" vertical="center"/>
      <protection locked="0" hidden="0"/>
    </xf>
    <xf numFmtId="4" fontId="8" fillId="2" borderId="27" applyAlignment="1" applyProtection="1" pivotButton="0" quotePrefix="0" xfId="17">
      <alignment horizontal="center" vertical="center"/>
      <protection locked="0" hidden="0"/>
    </xf>
    <xf numFmtId="169" fontId="8" fillId="0" borderId="29" applyAlignment="1" applyProtection="1" pivotButton="0" quotePrefix="0" xfId="0">
      <alignment horizontal="center" vertical="center"/>
      <protection locked="0" hidden="0"/>
    </xf>
    <xf numFmtId="4" fontId="8" fillId="0" borderId="38" applyAlignment="1" applyProtection="1" pivotButton="0" quotePrefix="0" xfId="17">
      <alignment horizontal="center" vertical="center"/>
      <protection locked="0" hidden="0"/>
    </xf>
    <xf numFmtId="0" fontId="0" fillId="0" borderId="82" applyProtection="1" pivotButton="0" quotePrefix="0" xfId="0">
      <protection locked="0" hidden="0"/>
    </xf>
    <xf numFmtId="2" fontId="8" fillId="0" borderId="22" applyAlignment="1" applyProtection="1" pivotButton="0" quotePrefix="0" xfId="17">
      <alignment horizontal="center" vertical="center"/>
      <protection locked="0" hidden="0"/>
    </xf>
    <xf numFmtId="4" fontId="9" fillId="3" borderId="21" applyAlignment="1" applyProtection="1" pivotButton="0" quotePrefix="0" xfId="17">
      <alignment horizontal="center" vertical="center"/>
      <protection locked="0" hidden="0"/>
    </xf>
    <xf numFmtId="169" fontId="8" fillId="0" borderId="40" applyAlignment="1" applyProtection="1" pivotButton="0" quotePrefix="0" xfId="0">
      <alignment horizontal="center" vertical="center"/>
      <protection locked="0" hidden="0"/>
    </xf>
    <xf numFmtId="168" fontId="8" fillId="0" borderId="40" applyAlignment="1" applyProtection="1" pivotButton="0" quotePrefix="0" xfId="17">
      <alignment horizontal="center" vertical="center"/>
      <protection locked="0" hidden="0"/>
    </xf>
    <xf numFmtId="3" fontId="8" fillId="2" borderId="6" applyAlignment="1" applyProtection="1" pivotButton="0" quotePrefix="0" xfId="0">
      <alignment horizontal="center" vertical="center"/>
      <protection locked="0" hidden="0"/>
    </xf>
    <xf numFmtId="2" fontId="8" fillId="0" borderId="41" applyAlignment="1" applyProtection="1" pivotButton="0" quotePrefix="0" xfId="17">
      <alignment horizontal="center" vertical="center"/>
      <protection locked="0" hidden="0"/>
    </xf>
    <xf numFmtId="0" fontId="0" fillId="0" borderId="80" applyProtection="1" pivotButton="0" quotePrefix="0" xfId="0">
      <protection locked="0" hidden="0"/>
    </xf>
    <xf numFmtId="2" fontId="9" fillId="0" borderId="22" applyAlignment="1" applyProtection="1" pivotButton="0" quotePrefix="0" xfId="17">
      <alignment horizontal="center" vertical="center"/>
      <protection locked="0" hidden="0"/>
    </xf>
    <xf numFmtId="166" fontId="8" fillId="2" borderId="0" applyAlignment="1" applyProtection="1" pivotButton="0" quotePrefix="0" xfId="0">
      <alignment horizontal="center" vertical="center"/>
      <protection locked="0" hidden="0"/>
    </xf>
    <xf numFmtId="2" fontId="9" fillId="0" borderId="0" applyAlignment="1" applyProtection="1" pivotButton="0" quotePrefix="0" xfId="17">
      <alignment horizontal="center" vertical="center"/>
      <protection locked="0" hidden="0"/>
    </xf>
    <xf numFmtId="2" fontId="6" fillId="0" borderId="0" applyAlignment="1" applyProtection="1" pivotButton="0" quotePrefix="0" xfId="0">
      <alignment horizontal="general" vertical="bottom"/>
      <protection locked="0" hidden="0"/>
    </xf>
    <xf numFmtId="4" fontId="9" fillId="0" borderId="0" applyAlignment="1" applyProtection="1" pivotButton="0" quotePrefix="0" xfId="17">
      <alignment horizontal="center" vertical="center"/>
      <protection locked="0" hidden="0"/>
    </xf>
    <xf numFmtId="3" fontId="0" fillId="2" borderId="6" applyAlignment="1" applyProtection="1" pivotButton="0" quotePrefix="0" xfId="0">
      <alignment horizontal="center" vertical="bottom"/>
      <protection locked="0" hidden="0"/>
    </xf>
    <xf numFmtId="3" fontId="8" fillId="2" borderId="46" applyAlignment="1" applyProtection="1" pivotButton="0" quotePrefix="0" xfId="0">
      <alignment horizontal="center" vertical="center"/>
      <protection locked="0" hidden="0"/>
    </xf>
    <xf numFmtId="3" fontId="0" fillId="2" borderId="47" applyAlignment="1" applyProtection="1" pivotButton="0" quotePrefix="0" xfId="0">
      <alignment horizontal="general" vertical="bottom"/>
      <protection locked="0" hidden="0"/>
    </xf>
    <xf numFmtId="3" fontId="0" fillId="2" borderId="48" applyAlignment="1" applyProtection="1" pivotButton="0" quotePrefix="0" xfId="0">
      <alignment horizontal="general" vertical="bottom"/>
      <protection locked="0" hidden="0"/>
    </xf>
    <xf numFmtId="4" fontId="8" fillId="0" borderId="49" applyAlignment="1" applyProtection="1" pivotButton="0" quotePrefix="0" xfId="17">
      <alignment horizontal="center" vertical="center"/>
      <protection locked="0" hidden="0"/>
    </xf>
    <xf numFmtId="4" fontId="8" fillId="0" borderId="43" applyAlignment="1" applyProtection="1" pivotButton="0" quotePrefix="0" xfId="17">
      <alignment horizontal="center" vertical="center"/>
      <protection locked="0" hidden="0"/>
    </xf>
    <xf numFmtId="4" fontId="8" fillId="0" borderId="44" applyAlignment="1" applyProtection="1" pivotButton="0" quotePrefix="0" xfId="17">
      <alignment horizontal="center" vertical="center"/>
      <protection locked="0" hidden="0"/>
    </xf>
    <xf numFmtId="4" fontId="8" fillId="2" borderId="49" applyAlignment="1" applyProtection="1" pivotButton="0" quotePrefix="0" xfId="17">
      <alignment horizontal="center" vertical="center"/>
      <protection locked="0" hidden="0"/>
    </xf>
    <xf numFmtId="4" fontId="8" fillId="2" borderId="43" applyAlignment="1" applyProtection="1" pivotButton="0" quotePrefix="0" xfId="17">
      <alignment horizontal="center" vertical="center"/>
      <protection locked="0" hidden="0"/>
    </xf>
    <xf numFmtId="4" fontId="8" fillId="2" borderId="50" applyAlignment="1" applyProtection="1" pivotButton="0" quotePrefix="0" xfId="17">
      <alignment horizontal="center" vertical="center"/>
      <protection locked="0" hidden="0"/>
    </xf>
    <xf numFmtId="4" fontId="8" fillId="0" borderId="51" applyAlignment="1" applyProtection="1" pivotButton="0" quotePrefix="0" xfId="17">
      <alignment horizontal="center" vertical="center"/>
      <protection locked="0" hidden="0"/>
    </xf>
    <xf numFmtId="0" fontId="0" fillId="0" borderId="94" applyProtection="1" pivotButton="0" quotePrefix="0" xfId="0">
      <protection locked="0" hidden="0"/>
    </xf>
    <xf numFmtId="0" fontId="0" fillId="0" borderId="95" applyProtection="1" pivotButton="0" quotePrefix="0" xfId="0">
      <protection locked="0" hidden="0"/>
    </xf>
    <xf numFmtId="3" fontId="8" fillId="0" borderId="29" applyAlignment="1" applyProtection="1" pivotButton="0" quotePrefix="0" xfId="0">
      <alignment horizontal="center" vertical="center"/>
      <protection locked="0" hidden="0"/>
    </xf>
    <xf numFmtId="4" fontId="8" fillId="0" borderId="29" applyAlignment="1" applyProtection="1" pivotButton="0" quotePrefix="0" xfId="17">
      <alignment horizontal="center" vertical="center"/>
      <protection locked="0" hidden="0"/>
    </xf>
    <xf numFmtId="168" fontId="9" fillId="0" borderId="54" applyAlignment="1" applyProtection="1" pivotButton="0" quotePrefix="0" xfId="17">
      <alignment horizontal="center" vertical="center"/>
      <protection locked="0" hidden="0"/>
    </xf>
    <xf numFmtId="168" fontId="9" fillId="0" borderId="22" applyAlignment="1" applyProtection="1" pivotButton="0" quotePrefix="0" xfId="17">
      <alignment horizontal="center" vertical="center"/>
      <protection locked="0" hidden="0"/>
    </xf>
    <xf numFmtId="4" fontId="9" fillId="4" borderId="56" applyAlignment="1" applyProtection="1" pivotButton="0" quotePrefix="0" xfId="17">
      <alignment horizontal="center" vertical="center"/>
      <protection locked="0" hidden="0"/>
    </xf>
    <xf numFmtId="0" fontId="0" fillId="0" borderId="89" applyProtection="1" pivotButton="0" quotePrefix="0" xfId="0">
      <protection locked="0" hidden="0"/>
    </xf>
    <xf numFmtId="170" fontId="15" fillId="2" borderId="59" applyAlignment="1" applyProtection="1" pivotButton="0" quotePrefix="0" xfId="17">
      <alignment horizontal="center" vertical="center"/>
      <protection locked="0" hidden="0"/>
    </xf>
    <xf numFmtId="0" fontId="0" fillId="0" borderId="96" applyProtection="1" pivotButton="0" quotePrefix="0" xfId="0">
      <protection locked="0" hidden="0"/>
    </xf>
    <xf numFmtId="4" fontId="8" fillId="2" borderId="60" applyAlignment="1" applyProtection="1" pivotButton="0" quotePrefix="0" xfId="17">
      <alignment horizontal="center" vertical="center"/>
      <protection locked="0" hidden="0"/>
    </xf>
    <xf numFmtId="0" fontId="0" fillId="0" borderId="97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170" fontId="16" fillId="2" borderId="63" applyAlignment="1" applyProtection="1" pivotButton="0" quotePrefix="0" xfId="17">
      <alignment horizontal="center" vertical="center"/>
      <protection locked="0" hidden="0"/>
    </xf>
    <xf numFmtId="0" fontId="0" fillId="0" borderId="99" applyProtection="1" pivotButton="0" quotePrefix="0" xfId="0">
      <protection locked="0" hidden="0"/>
    </xf>
    <xf numFmtId="4" fontId="17" fillId="2" borderId="64" applyAlignment="1" applyProtection="1" pivotButton="0" quotePrefix="0" xfId="17">
      <alignment horizontal="center" vertical="center"/>
      <protection locked="0" hidden="0"/>
    </xf>
    <xf numFmtId="0" fontId="0" fillId="0" borderId="100" applyProtection="1" pivotButton="0" quotePrefix="0" xfId="0">
      <protection locked="0" hidden="0"/>
    </xf>
    <xf numFmtId="170" fontId="18" fillId="2" borderId="33" applyAlignment="1" applyProtection="1" pivotButton="0" quotePrefix="0" xfId="17">
      <alignment horizontal="center" vertical="center"/>
      <protection locked="0" hidden="0"/>
    </xf>
    <xf numFmtId="0" fontId="0" fillId="0" borderId="101" applyProtection="1" pivotButton="0" quotePrefix="0" xfId="0">
      <protection locked="0" hidden="0"/>
    </xf>
    <xf numFmtId="4" fontId="9" fillId="2" borderId="67" applyAlignment="1" applyProtection="1" pivotButton="0" quotePrefix="0" xfId="17">
      <alignment horizontal="center" vertical="center"/>
      <protection locked="0" hidden="0"/>
    </xf>
    <xf numFmtId="0" fontId="21" fillId="6" borderId="0" pivotButton="0" quotePrefix="0" xfId="0"/>
    <xf numFmtId="0" fontId="22" fillId="0" borderId="0" pivotButton="0" quotePrefix="0" xfId="0"/>
    <xf numFmtId="4" fontId="23" fillId="7" borderId="102" pivotButton="0" quotePrefix="0" xfId="0"/>
    <xf numFmtId="0" fontId="24" fillId="0" borderId="0" pivotButton="0" quotePrefix="0" xfId="0"/>
    <xf numFmtId="1" fontId="23" fillId="7" borderId="102" pivotButton="0" quotePrefix="0" xfId="0"/>
    <xf numFmtId="172" fontId="23" fillId="7" borderId="102" pivotButton="0" quotePrefix="0" xfId="0"/>
    <xf numFmtId="9" fontId="23" fillId="7" borderId="102" pivotButton="0" quotePrefix="0" xfId="0"/>
    <xf numFmtId="0" fontId="21" fillId="6" borderId="0" applyAlignment="1" pivotButton="0" quotePrefix="0" xfId="0">
      <alignment vertical="center" wrapText="1"/>
    </xf>
    <xf numFmtId="9" fontId="22" fillId="0" borderId="102" pivotButton="0" quotePrefix="0" xfId="0"/>
    <xf numFmtId="171" fontId="23" fillId="7" borderId="102" pivotButton="0" quotePrefix="0" xfId="0"/>
    <xf numFmtId="172" fontId="22" fillId="0" borderId="102" pivotButton="0" quotePrefix="0" xfId="0"/>
    <xf numFmtId="171" fontId="8" fillId="0" borderId="7" applyAlignment="1" applyProtection="1" pivotButton="0" quotePrefix="0" xfId="0">
      <alignment horizontal="center" vertical="center"/>
      <protection locked="0" hidden="0"/>
    </xf>
    <xf numFmtId="172" fontId="23" fillId="7" borderId="10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xSplit="2" ySplit="11" topLeftCell="C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144" min="1" max="1"/>
    <col width="9" customWidth="1" style="144" min="2" max="2"/>
    <col width="34" customWidth="1" style="144" min="3" max="3"/>
    <col width="10" customWidth="1" style="144" min="4" max="4"/>
    <col width="24" customWidth="1" style="144" min="5" max="5"/>
    <col width="44" customWidth="1" style="144" min="6" max="6"/>
    <col width="10" customWidth="1" style="144" min="7" max="7"/>
    <col width="10" customWidth="1" style="144" min="8" max="8"/>
    <col width="9" customWidth="1" style="144" min="9" max="9"/>
    <col width="14" customWidth="1" style="144" min="10" max="10"/>
    <col width="16" customWidth="1" style="144" min="11" max="11"/>
    <col width="10" customWidth="1" style="144" min="12" max="12"/>
    <col width="8" customWidth="1" style="144" min="13" max="13"/>
    <col width="34" customWidth="1" style="144" min="14" max="14"/>
    <col width="8" customWidth="1" style="144" min="15" max="15"/>
    <col width="7" customWidth="1" style="144" min="16" max="16"/>
  </cols>
  <sheetData>
    <row r="1">
      <c r="A1" s="145" t="inlineStr">
        <is>
          <t>LEVANTAMENTO PARA PRECIFICAÇÃO - LTCAT / LI</t>
        </is>
      </c>
      <c r="H1" s="146" t="inlineStr">
        <is>
          <t>Preencha as células amarelas. As demais são calculadas. Ordem: GHE crescente.</t>
        </is>
      </c>
    </row>
    <row r="2"/>
    <row r="3">
      <c r="A3" s="147" t="inlineStr">
        <is>
          <t>Empresa</t>
        </is>
      </c>
      <c r="B3" s="148" t="n"/>
      <c r="C3" s="149" t="n"/>
      <c r="D3" s="147" t="inlineStr">
        <is>
          <t>Grau de risco</t>
        </is>
      </c>
      <c r="F3" s="150" t="n"/>
    </row>
    <row r="4">
      <c r="A4" s="147" t="inlineStr">
        <is>
          <t>CNPJ</t>
        </is>
      </c>
      <c r="B4" s="148" t="n"/>
      <c r="C4" s="149" t="n"/>
      <c r="D4" s="147" t="inlineStr">
        <is>
          <t>Nº empregados</t>
        </is>
      </c>
      <c r="F4" s="150" t="n"/>
    </row>
    <row r="5">
      <c r="A5" s="147" t="inlineStr">
        <is>
          <t>Local (cidade)</t>
        </is>
      </c>
      <c r="B5" s="148" t="n"/>
      <c r="C5" s="149" t="n"/>
      <c r="D5" s="147" t="inlineStr">
        <is>
          <t>Responsável</t>
        </is>
      </c>
      <c r="F5" s="148" t="n"/>
    </row>
    <row r="6">
      <c r="A6" s="147" t="inlineStr">
        <is>
          <t>Distância só ida (km)</t>
        </is>
      </c>
      <c r="B6" s="150" t="n">
        <v>0</v>
      </c>
      <c r="C6" s="149" t="n"/>
      <c r="D6" s="147" t="inlineStr">
        <is>
          <t>Data</t>
        </is>
      </c>
      <c r="F6" s="279" t="n"/>
    </row>
    <row r="7">
      <c r="A7" s="147" t="inlineStr">
        <is>
          <t>Pernoite? (Sim/Não)</t>
        </is>
      </c>
      <c r="B7" s="148" t="inlineStr">
        <is>
          <t>Não</t>
        </is>
      </c>
      <c r="C7" s="149" t="n"/>
      <c r="D7" s="147" t="inlineStr">
        <is>
          <t>Tipo de laudo</t>
        </is>
      </c>
      <c r="F7" s="148" t="inlineStr">
        <is>
          <t>LTCAT/LI</t>
        </is>
      </c>
    </row>
    <row r="8">
      <c r="A8" s="147" t="inlineStr">
        <is>
          <t>Dias em campo sugerido</t>
        </is>
      </c>
      <c r="B8" s="152">
        <f>MAX(1,ROUNDUP(SUM(P12:P111),0))</f>
        <v/>
      </c>
      <c r="C8" s="149" t="n"/>
      <c r="D8" s="147" t="inlineStr">
        <is>
          <t>Total de avaliações</t>
        </is>
      </c>
      <c r="F8" s="152">
        <f>SUM(I12:I111)</f>
        <v/>
      </c>
    </row>
    <row r="9">
      <c r="A9" s="147" t="inlineStr">
        <is>
          <t>Dias em campo ajustado</t>
        </is>
      </c>
      <c r="B9" s="150" t="n"/>
      <c r="C9" s="149" t="n"/>
      <c r="D9" s="147" t="inlineStr">
        <is>
          <t>Horas TST de campo</t>
        </is>
      </c>
      <c r="F9" s="152">
        <f>SUM(L12:L111)</f>
        <v/>
      </c>
    </row>
    <row r="10">
      <c r="A10" s="147" t="inlineStr">
        <is>
          <t>Dias em campo (usado)</t>
        </is>
      </c>
      <c r="B10" s="152">
        <f>IF(B9&lt;&gt;"",B9,B8)</f>
        <v/>
      </c>
      <c r="C10" s="149" t="n"/>
      <c r="D10" s="147" t="inlineStr">
        <is>
          <t>Custo lab./serviços (R$)</t>
        </is>
      </c>
      <c r="F10" s="153">
        <f>SUM(K12:K111)</f>
        <v/>
      </c>
    </row>
    <row r="11" ht="30" customHeight="1" s="144">
      <c r="A11" s="154" t="inlineStr">
        <is>
          <t>Item</t>
        </is>
      </c>
      <c r="B11" s="154" t="inlineStr">
        <is>
          <t>GHE</t>
        </is>
      </c>
      <c r="C11" s="154" t="inlineStr">
        <is>
          <t>Nome do GHE</t>
        </is>
      </c>
      <c r="D11" s="154" t="inlineStr">
        <is>
          <t>Nº expostos</t>
        </is>
      </c>
      <c r="E11" s="154" t="inlineStr">
        <is>
          <t>Tipo de avaliação</t>
        </is>
      </c>
      <c r="F11" s="154" t="inlineStr">
        <is>
          <t>Agente / Exame</t>
        </is>
      </c>
      <c r="G11" s="154" t="inlineStr">
        <is>
          <t>Qtd sugerida</t>
        </is>
      </c>
      <c r="H11" s="154" t="inlineStr">
        <is>
          <t>Qtd ajustada</t>
        </is>
      </c>
      <c r="I11" s="154" t="inlineStr">
        <is>
          <t>Qtd final</t>
        </is>
      </c>
      <c r="J11" s="154" t="inlineStr">
        <is>
          <t>Valor unitário (R$)</t>
        </is>
      </c>
      <c r="K11" s="154" t="inlineStr">
        <is>
          <t>Custo lab./serviço (R$)</t>
        </is>
      </c>
      <c r="L11" s="154" t="inlineStr">
        <is>
          <t>Horas TST</t>
        </is>
      </c>
      <c r="M11" s="154" t="inlineStr">
        <is>
          <t>Folhas</t>
        </is>
      </c>
      <c r="N11" s="154" t="inlineStr">
        <is>
          <t>Observação</t>
        </is>
      </c>
      <c r="O11" s="154" t="inlineStr">
        <is>
          <t>Seq. químico</t>
        </is>
      </c>
      <c r="P11" s="154" t="inlineStr">
        <is>
          <t>Dias</t>
        </is>
      </c>
    </row>
    <row r="12">
      <c r="A12" s="155">
        <f>IF(E12="","",ROW()-11)</f>
        <v/>
      </c>
      <c r="B12" s="148" t="n"/>
      <c r="C12" s="148" t="n"/>
      <c r="D12" s="148" t="n"/>
      <c r="E12" s="148" t="n"/>
      <c r="F12" s="148" t="n"/>
      <c r="G12" s="155">
        <f>IF(E12="","",IF(E12="Ruído (dosimetria)",IF(D12&gt;P_DOS_LIM,ROUNDUP(D12*P_DOS_PCT,0),IF(N(D12)&gt;0,1,0)),IF(E12="Ausência de risco",0,IF(OR(D12="",N(D12)&gt;0),1,0))))</f>
        <v/>
      </c>
      <c r="H12" s="148" t="n"/>
      <c r="I12" s="155">
        <f>IF(E12="","",IF(H12&lt;&gt;"",H12,G12))</f>
        <v/>
      </c>
      <c r="J12" s="156">
        <f>IF(E12="","",IF(E12="Químico (laboratório)",IFERROR(INDEX(EX_VALOR,MATCH(F12,EX_NOMES,0)),0),IF(E12="Avaliação qualitativa",IF(SUMIFS($I$12:$I$111,$E$12:$E$111,"Avaliação qualitativa")&gt;1,P_QUAL_VARIAS,P_QUAL_UNICA),IFERROR(INDEX(T_FIXO,MATCH(E12,T_TIPOS,0)),0))))</f>
        <v/>
      </c>
      <c r="K12" s="156">
        <f>IF(E12="","",I12*J12)</f>
        <v/>
      </c>
      <c r="L12" s="280">
        <f>IF(E12="","",I12*IFERROR(INDEX(T_HORAS,MATCH(E12,T_TIPOS,0)),0))</f>
        <v/>
      </c>
      <c r="M12" s="155">
        <f>IF(E12="","",I12*P_FOLHAS_AV)</f>
        <v/>
      </c>
      <c r="N12" s="148" t="n"/>
      <c r="O12" s="158">
        <f>IF(AND(E12="Químico (laboratório)",F12&lt;&gt;"",COUNTIFS($F$12:F12,F12,$E$12:E12,"Químico (laboratório)")=1),MAX($O$11:O11)+1,"")</f>
        <v/>
      </c>
      <c r="P12" s="159">
        <f>IF(E12="","",IF(IFERROR(INDEX(T_PORDIA,MATCH(E12,T_TIPOS,0)),0)&gt;0,I12/INDEX(T_PORDIA,MATCH(E12,T_TIPOS,0)),0))</f>
        <v/>
      </c>
    </row>
    <row r="13">
      <c r="A13" s="155">
        <f>IF(E13="","",ROW()-11)</f>
        <v/>
      </c>
      <c r="B13" s="148" t="n"/>
      <c r="C13" s="148" t="n"/>
      <c r="D13" s="148" t="n"/>
      <c r="E13" s="148" t="n"/>
      <c r="F13" s="148" t="n"/>
      <c r="G13" s="155">
        <f>IF(E13="","",IF(E13="Ruído (dosimetria)",IF(D13&gt;P_DOS_LIM,ROUNDUP(D13*P_DOS_PCT,0),IF(N(D13)&gt;0,1,0)),IF(E13="Ausência de risco",0,IF(OR(D13="",N(D13)&gt;0),1,0))))</f>
        <v/>
      </c>
      <c r="H13" s="148" t="n"/>
      <c r="I13" s="155">
        <f>IF(E13="","",IF(H13&lt;&gt;"",H13,G13))</f>
        <v/>
      </c>
      <c r="J13" s="156">
        <f>IF(E13="","",IF(E13="Químico (laboratório)",IFERROR(INDEX(EX_VALOR,MATCH(F13,EX_NOMES,0)),0),IF(E13="Avaliação qualitativa",IF(SUMIFS($I$12:$I$111,$E$12:$E$111,"Avaliação qualitativa")&gt;1,P_QUAL_VARIAS,P_QUAL_UNICA),IFERROR(INDEX(T_FIXO,MATCH(E13,T_TIPOS,0)),0))))</f>
        <v/>
      </c>
      <c r="K13" s="156">
        <f>IF(E13="","",I13*J13)</f>
        <v/>
      </c>
      <c r="L13" s="280">
        <f>IF(E13="","",I13*IFERROR(INDEX(T_HORAS,MATCH(E13,T_TIPOS,0)),0))</f>
        <v/>
      </c>
      <c r="M13" s="155">
        <f>IF(E13="","",I13*P_FOLHAS_AV)</f>
        <v/>
      </c>
      <c r="N13" s="148" t="n"/>
      <c r="O13" s="158">
        <f>IF(AND(E13="Químico (laboratório)",F13&lt;&gt;"",COUNTIFS($F$12:F13,F13,$E$12:E13,"Químico (laboratório)")=1),MAX($O$11:O12)+1,"")</f>
        <v/>
      </c>
      <c r="P13" s="159">
        <f>IF(E13="","",IF(IFERROR(INDEX(T_PORDIA,MATCH(E13,T_TIPOS,0)),0)&gt;0,I13/INDEX(T_PORDIA,MATCH(E13,T_TIPOS,0)),0))</f>
        <v/>
      </c>
    </row>
    <row r="14">
      <c r="A14" s="155">
        <f>IF(E14="","",ROW()-11)</f>
        <v/>
      </c>
      <c r="B14" s="148" t="n"/>
      <c r="C14" s="148" t="n"/>
      <c r="D14" s="148" t="n"/>
      <c r="E14" s="148" t="n"/>
      <c r="F14" s="148" t="n"/>
      <c r="G14" s="155">
        <f>IF(E14="","",IF(E14="Ruído (dosimetria)",IF(D14&gt;P_DOS_LIM,ROUNDUP(D14*P_DOS_PCT,0),IF(N(D14)&gt;0,1,0)),IF(E14="Ausência de risco",0,IF(OR(D14="",N(D14)&gt;0),1,0))))</f>
        <v/>
      </c>
      <c r="H14" s="148" t="n"/>
      <c r="I14" s="155">
        <f>IF(E14="","",IF(H14&lt;&gt;"",H14,G14))</f>
        <v/>
      </c>
      <c r="J14" s="156">
        <f>IF(E14="","",IF(E14="Químico (laboratório)",IFERROR(INDEX(EX_VALOR,MATCH(F14,EX_NOMES,0)),0),IF(E14="Avaliação qualitativa",IF(SUMIFS($I$12:$I$111,$E$12:$E$111,"Avaliação qualitativa")&gt;1,P_QUAL_VARIAS,P_QUAL_UNICA),IFERROR(INDEX(T_FIXO,MATCH(E14,T_TIPOS,0)),0))))</f>
        <v/>
      </c>
      <c r="K14" s="156">
        <f>IF(E14="","",I14*J14)</f>
        <v/>
      </c>
      <c r="L14" s="280">
        <f>IF(E14="","",I14*IFERROR(INDEX(T_HORAS,MATCH(E14,T_TIPOS,0)),0))</f>
        <v/>
      </c>
      <c r="M14" s="155">
        <f>IF(E14="","",I14*P_FOLHAS_AV)</f>
        <v/>
      </c>
      <c r="N14" s="148" t="n"/>
      <c r="O14" s="158">
        <f>IF(AND(E14="Químico (laboratório)",F14&lt;&gt;"",COUNTIFS($F$12:F14,F14,$E$12:E14,"Químico (laboratório)")=1),MAX($O$11:O13)+1,"")</f>
        <v/>
      </c>
      <c r="P14" s="159">
        <f>IF(E14="","",IF(IFERROR(INDEX(T_PORDIA,MATCH(E14,T_TIPOS,0)),0)&gt;0,I14/INDEX(T_PORDIA,MATCH(E14,T_TIPOS,0)),0))</f>
        <v/>
      </c>
    </row>
    <row r="15">
      <c r="A15" s="155">
        <f>IF(E15="","",ROW()-11)</f>
        <v/>
      </c>
      <c r="B15" s="148" t="n"/>
      <c r="C15" s="148" t="n"/>
      <c r="D15" s="148" t="n"/>
      <c r="E15" s="148" t="n"/>
      <c r="F15" s="148" t="n"/>
      <c r="G15" s="155">
        <f>IF(E15="","",IF(E15="Ruído (dosimetria)",IF(D15&gt;P_DOS_LIM,ROUNDUP(D15*P_DOS_PCT,0),IF(N(D15)&gt;0,1,0)),IF(E15="Ausência de risco",0,IF(OR(D15="",N(D15)&gt;0),1,0))))</f>
        <v/>
      </c>
      <c r="H15" s="148" t="n"/>
      <c r="I15" s="155">
        <f>IF(E15="","",IF(H15&lt;&gt;"",H15,G15))</f>
        <v/>
      </c>
      <c r="J15" s="156">
        <f>IF(E15="","",IF(E15="Químico (laboratório)",IFERROR(INDEX(EX_VALOR,MATCH(F15,EX_NOMES,0)),0),IF(E15="Avaliação qualitativa",IF(SUMIFS($I$12:$I$111,$E$12:$E$111,"Avaliação qualitativa")&gt;1,P_QUAL_VARIAS,P_QUAL_UNICA),IFERROR(INDEX(T_FIXO,MATCH(E15,T_TIPOS,0)),0))))</f>
        <v/>
      </c>
      <c r="K15" s="156">
        <f>IF(E15="","",I15*J15)</f>
        <v/>
      </c>
      <c r="L15" s="280">
        <f>IF(E15="","",I15*IFERROR(INDEX(T_HORAS,MATCH(E15,T_TIPOS,0)),0))</f>
        <v/>
      </c>
      <c r="M15" s="155">
        <f>IF(E15="","",I15*P_FOLHAS_AV)</f>
        <v/>
      </c>
      <c r="N15" s="148" t="n"/>
      <c r="O15" s="158">
        <f>IF(AND(E15="Químico (laboratório)",F15&lt;&gt;"",COUNTIFS($F$12:F15,F15,$E$12:E15,"Químico (laboratório)")=1),MAX($O$11:O14)+1,"")</f>
        <v/>
      </c>
      <c r="P15" s="159">
        <f>IF(E15="","",IF(IFERROR(INDEX(T_PORDIA,MATCH(E15,T_TIPOS,0)),0)&gt;0,I15/INDEX(T_PORDIA,MATCH(E15,T_TIPOS,0)),0))</f>
        <v/>
      </c>
    </row>
    <row r="16">
      <c r="A16" s="155">
        <f>IF(E16="","",ROW()-11)</f>
        <v/>
      </c>
      <c r="B16" s="148" t="n"/>
      <c r="C16" s="148" t="n"/>
      <c r="D16" s="148" t="n"/>
      <c r="E16" s="148" t="n"/>
      <c r="F16" s="148" t="n"/>
      <c r="G16" s="155">
        <f>IF(E16="","",IF(E16="Ruído (dosimetria)",IF(D16&gt;P_DOS_LIM,ROUNDUP(D16*P_DOS_PCT,0),IF(N(D16)&gt;0,1,0)),IF(E16="Ausência de risco",0,IF(OR(D16="",N(D16)&gt;0),1,0))))</f>
        <v/>
      </c>
      <c r="H16" s="148" t="n"/>
      <c r="I16" s="155">
        <f>IF(E16="","",IF(H16&lt;&gt;"",H16,G16))</f>
        <v/>
      </c>
      <c r="J16" s="156">
        <f>IF(E16="","",IF(E16="Químico (laboratório)",IFERROR(INDEX(EX_VALOR,MATCH(F16,EX_NOMES,0)),0),IF(E16="Avaliação qualitativa",IF(SUMIFS($I$12:$I$111,$E$12:$E$111,"Avaliação qualitativa")&gt;1,P_QUAL_VARIAS,P_QUAL_UNICA),IFERROR(INDEX(T_FIXO,MATCH(E16,T_TIPOS,0)),0))))</f>
        <v/>
      </c>
      <c r="K16" s="156">
        <f>IF(E16="","",I16*J16)</f>
        <v/>
      </c>
      <c r="L16" s="280">
        <f>IF(E16="","",I16*IFERROR(INDEX(T_HORAS,MATCH(E16,T_TIPOS,0)),0))</f>
        <v/>
      </c>
      <c r="M16" s="155">
        <f>IF(E16="","",I16*P_FOLHAS_AV)</f>
        <v/>
      </c>
      <c r="N16" s="148" t="n"/>
      <c r="O16" s="158">
        <f>IF(AND(E16="Químico (laboratório)",F16&lt;&gt;"",COUNTIFS($F$12:F16,F16,$E$12:E16,"Químico (laboratório)")=1),MAX($O$11:O15)+1,"")</f>
        <v/>
      </c>
      <c r="P16" s="159">
        <f>IF(E16="","",IF(IFERROR(INDEX(T_PORDIA,MATCH(E16,T_TIPOS,0)),0)&gt;0,I16/INDEX(T_PORDIA,MATCH(E16,T_TIPOS,0)),0))</f>
        <v/>
      </c>
    </row>
    <row r="17">
      <c r="A17" s="155">
        <f>IF(E17="","",ROW()-11)</f>
        <v/>
      </c>
      <c r="B17" s="148" t="n"/>
      <c r="C17" s="148" t="n"/>
      <c r="D17" s="148" t="n"/>
      <c r="E17" s="148" t="n"/>
      <c r="F17" s="148" t="n"/>
      <c r="G17" s="155">
        <f>IF(E17="","",IF(E17="Ruído (dosimetria)",IF(D17&gt;P_DOS_LIM,ROUNDUP(D17*P_DOS_PCT,0),IF(N(D17)&gt;0,1,0)),IF(E17="Ausência de risco",0,IF(OR(D17="",N(D17)&gt;0),1,0))))</f>
        <v/>
      </c>
      <c r="H17" s="148" t="n"/>
      <c r="I17" s="155">
        <f>IF(E17="","",IF(H17&lt;&gt;"",H17,G17))</f>
        <v/>
      </c>
      <c r="J17" s="156">
        <f>IF(E17="","",IF(E17="Químico (laboratório)",IFERROR(INDEX(EX_VALOR,MATCH(F17,EX_NOMES,0)),0),IF(E17="Avaliação qualitativa",IF(SUMIFS($I$12:$I$111,$E$12:$E$111,"Avaliação qualitativa")&gt;1,P_QUAL_VARIAS,P_QUAL_UNICA),IFERROR(INDEX(T_FIXO,MATCH(E17,T_TIPOS,0)),0))))</f>
        <v/>
      </c>
      <c r="K17" s="156">
        <f>IF(E17="","",I17*J17)</f>
        <v/>
      </c>
      <c r="L17" s="280">
        <f>IF(E17="","",I17*IFERROR(INDEX(T_HORAS,MATCH(E17,T_TIPOS,0)),0))</f>
        <v/>
      </c>
      <c r="M17" s="155">
        <f>IF(E17="","",I17*P_FOLHAS_AV)</f>
        <v/>
      </c>
      <c r="N17" s="148" t="n"/>
      <c r="O17" s="158">
        <f>IF(AND(E17="Químico (laboratório)",F17&lt;&gt;"",COUNTIFS($F$12:F17,F17,$E$12:E17,"Químico (laboratório)")=1),MAX($O$11:O16)+1,"")</f>
        <v/>
      </c>
      <c r="P17" s="159">
        <f>IF(E17="","",IF(IFERROR(INDEX(T_PORDIA,MATCH(E17,T_TIPOS,0)),0)&gt;0,I17/INDEX(T_PORDIA,MATCH(E17,T_TIPOS,0)),0))</f>
        <v/>
      </c>
    </row>
    <row r="18">
      <c r="A18" s="155">
        <f>IF(E18="","",ROW()-11)</f>
        <v/>
      </c>
      <c r="B18" s="148" t="n"/>
      <c r="C18" s="148" t="n"/>
      <c r="D18" s="148" t="n"/>
      <c r="E18" s="148" t="n"/>
      <c r="F18" s="148" t="n"/>
      <c r="G18" s="155">
        <f>IF(E18="","",IF(E18="Ruído (dosimetria)",IF(D18&gt;P_DOS_LIM,ROUNDUP(D18*P_DOS_PCT,0),IF(N(D18)&gt;0,1,0)),IF(E18="Ausência de risco",0,IF(OR(D18="",N(D18)&gt;0),1,0))))</f>
        <v/>
      </c>
      <c r="H18" s="148" t="n"/>
      <c r="I18" s="155">
        <f>IF(E18="","",IF(H18&lt;&gt;"",H18,G18))</f>
        <v/>
      </c>
      <c r="J18" s="156">
        <f>IF(E18="","",IF(E18="Químico (laboratório)",IFERROR(INDEX(EX_VALOR,MATCH(F18,EX_NOMES,0)),0),IF(E18="Avaliação qualitativa",IF(SUMIFS($I$12:$I$111,$E$12:$E$111,"Avaliação qualitativa")&gt;1,P_QUAL_VARIAS,P_QUAL_UNICA),IFERROR(INDEX(T_FIXO,MATCH(E18,T_TIPOS,0)),0))))</f>
        <v/>
      </c>
      <c r="K18" s="156">
        <f>IF(E18="","",I18*J18)</f>
        <v/>
      </c>
      <c r="L18" s="280">
        <f>IF(E18="","",I18*IFERROR(INDEX(T_HORAS,MATCH(E18,T_TIPOS,0)),0))</f>
        <v/>
      </c>
      <c r="M18" s="155">
        <f>IF(E18="","",I18*P_FOLHAS_AV)</f>
        <v/>
      </c>
      <c r="N18" s="148" t="n"/>
      <c r="O18" s="158">
        <f>IF(AND(E18="Químico (laboratório)",F18&lt;&gt;"",COUNTIFS($F$12:F18,F18,$E$12:E18,"Químico (laboratório)")=1),MAX($O$11:O17)+1,"")</f>
        <v/>
      </c>
      <c r="P18" s="159">
        <f>IF(E18="","",IF(IFERROR(INDEX(T_PORDIA,MATCH(E18,T_TIPOS,0)),0)&gt;0,I18/INDEX(T_PORDIA,MATCH(E18,T_TIPOS,0)),0))</f>
        <v/>
      </c>
    </row>
    <row r="19">
      <c r="A19" s="155">
        <f>IF(E19="","",ROW()-11)</f>
        <v/>
      </c>
      <c r="B19" s="148" t="n"/>
      <c r="C19" s="148" t="n"/>
      <c r="D19" s="148" t="n"/>
      <c r="E19" s="148" t="n"/>
      <c r="F19" s="148" t="n"/>
      <c r="G19" s="155">
        <f>IF(E19="","",IF(E19="Ruído (dosimetria)",IF(D19&gt;P_DOS_LIM,ROUNDUP(D19*P_DOS_PCT,0),IF(N(D19)&gt;0,1,0)),IF(E19="Ausência de risco",0,IF(OR(D19="",N(D19)&gt;0),1,0))))</f>
        <v/>
      </c>
      <c r="H19" s="148" t="n"/>
      <c r="I19" s="155">
        <f>IF(E19="","",IF(H19&lt;&gt;"",H19,G19))</f>
        <v/>
      </c>
      <c r="J19" s="156">
        <f>IF(E19="","",IF(E19="Químico (laboratório)",IFERROR(INDEX(EX_VALOR,MATCH(F19,EX_NOMES,0)),0),IF(E19="Avaliação qualitativa",IF(SUMIFS($I$12:$I$111,$E$12:$E$111,"Avaliação qualitativa")&gt;1,P_QUAL_VARIAS,P_QUAL_UNICA),IFERROR(INDEX(T_FIXO,MATCH(E19,T_TIPOS,0)),0))))</f>
        <v/>
      </c>
      <c r="K19" s="156">
        <f>IF(E19="","",I19*J19)</f>
        <v/>
      </c>
      <c r="L19" s="280">
        <f>IF(E19="","",I19*IFERROR(INDEX(T_HORAS,MATCH(E19,T_TIPOS,0)),0))</f>
        <v/>
      </c>
      <c r="M19" s="155">
        <f>IF(E19="","",I19*P_FOLHAS_AV)</f>
        <v/>
      </c>
      <c r="N19" s="148" t="n"/>
      <c r="O19" s="158">
        <f>IF(AND(E19="Químico (laboratório)",F19&lt;&gt;"",COUNTIFS($F$12:F19,F19,$E$12:E19,"Químico (laboratório)")=1),MAX($O$11:O18)+1,"")</f>
        <v/>
      </c>
      <c r="P19" s="159">
        <f>IF(E19="","",IF(IFERROR(INDEX(T_PORDIA,MATCH(E19,T_TIPOS,0)),0)&gt;0,I19/INDEX(T_PORDIA,MATCH(E19,T_TIPOS,0)),0))</f>
        <v/>
      </c>
    </row>
    <row r="20">
      <c r="A20" s="155">
        <f>IF(E20="","",ROW()-11)</f>
        <v/>
      </c>
      <c r="B20" s="148" t="n"/>
      <c r="C20" s="148" t="n"/>
      <c r="D20" s="148" t="n"/>
      <c r="E20" s="148" t="n"/>
      <c r="F20" s="148" t="n"/>
      <c r="G20" s="155">
        <f>IF(E20="","",IF(E20="Ruído (dosimetria)",IF(D20&gt;P_DOS_LIM,ROUNDUP(D20*P_DOS_PCT,0),IF(N(D20)&gt;0,1,0)),IF(E20="Ausência de risco",0,IF(OR(D20="",N(D20)&gt;0),1,0))))</f>
        <v/>
      </c>
      <c r="H20" s="148" t="n"/>
      <c r="I20" s="155">
        <f>IF(E20="","",IF(H20&lt;&gt;"",H20,G20))</f>
        <v/>
      </c>
      <c r="J20" s="156">
        <f>IF(E20="","",IF(E20="Químico (laboratório)",IFERROR(INDEX(EX_VALOR,MATCH(F20,EX_NOMES,0)),0),IF(E20="Avaliação qualitativa",IF(SUMIFS($I$12:$I$111,$E$12:$E$111,"Avaliação qualitativa")&gt;1,P_QUAL_VARIAS,P_QUAL_UNICA),IFERROR(INDEX(T_FIXO,MATCH(E20,T_TIPOS,0)),0))))</f>
        <v/>
      </c>
      <c r="K20" s="156">
        <f>IF(E20="","",I20*J20)</f>
        <v/>
      </c>
      <c r="L20" s="280">
        <f>IF(E20="","",I20*IFERROR(INDEX(T_HORAS,MATCH(E20,T_TIPOS,0)),0))</f>
        <v/>
      </c>
      <c r="M20" s="155">
        <f>IF(E20="","",I20*P_FOLHAS_AV)</f>
        <v/>
      </c>
      <c r="N20" s="148" t="n"/>
      <c r="O20" s="158">
        <f>IF(AND(E20="Químico (laboratório)",F20&lt;&gt;"",COUNTIFS($F$12:F20,F20,$E$12:E20,"Químico (laboratório)")=1),MAX($O$11:O19)+1,"")</f>
        <v/>
      </c>
      <c r="P20" s="159">
        <f>IF(E20="","",IF(IFERROR(INDEX(T_PORDIA,MATCH(E20,T_TIPOS,0)),0)&gt;0,I20/INDEX(T_PORDIA,MATCH(E20,T_TIPOS,0)),0))</f>
        <v/>
      </c>
    </row>
    <row r="21">
      <c r="A21" s="155">
        <f>IF(E21="","",ROW()-11)</f>
        <v/>
      </c>
      <c r="B21" s="148" t="n"/>
      <c r="C21" s="148" t="n"/>
      <c r="D21" s="148" t="n"/>
      <c r="E21" s="148" t="n"/>
      <c r="F21" s="148" t="n"/>
      <c r="G21" s="155">
        <f>IF(E21="","",IF(E21="Ruído (dosimetria)",IF(D21&gt;P_DOS_LIM,ROUNDUP(D21*P_DOS_PCT,0),IF(N(D21)&gt;0,1,0)),IF(E21="Ausência de risco",0,IF(OR(D21="",N(D21)&gt;0),1,0))))</f>
        <v/>
      </c>
      <c r="H21" s="148" t="n"/>
      <c r="I21" s="155">
        <f>IF(E21="","",IF(H21&lt;&gt;"",H21,G21))</f>
        <v/>
      </c>
      <c r="J21" s="156">
        <f>IF(E21="","",IF(E21="Químico (laboratório)",IFERROR(INDEX(EX_VALOR,MATCH(F21,EX_NOMES,0)),0),IF(E21="Avaliação qualitativa",IF(SUMIFS($I$12:$I$111,$E$12:$E$111,"Avaliação qualitativa")&gt;1,P_QUAL_VARIAS,P_QUAL_UNICA),IFERROR(INDEX(T_FIXO,MATCH(E21,T_TIPOS,0)),0))))</f>
        <v/>
      </c>
      <c r="K21" s="156">
        <f>IF(E21="","",I21*J21)</f>
        <v/>
      </c>
      <c r="L21" s="280">
        <f>IF(E21="","",I21*IFERROR(INDEX(T_HORAS,MATCH(E21,T_TIPOS,0)),0))</f>
        <v/>
      </c>
      <c r="M21" s="155">
        <f>IF(E21="","",I21*P_FOLHAS_AV)</f>
        <v/>
      </c>
      <c r="N21" s="148" t="n"/>
      <c r="O21" s="158">
        <f>IF(AND(E21="Químico (laboratório)",F21&lt;&gt;"",COUNTIFS($F$12:F21,F21,$E$12:E21,"Químico (laboratório)")=1),MAX($O$11:O20)+1,"")</f>
        <v/>
      </c>
      <c r="P21" s="159">
        <f>IF(E21="","",IF(IFERROR(INDEX(T_PORDIA,MATCH(E21,T_TIPOS,0)),0)&gt;0,I21/INDEX(T_PORDIA,MATCH(E21,T_TIPOS,0)),0))</f>
        <v/>
      </c>
    </row>
    <row r="22">
      <c r="A22" s="155">
        <f>IF(E22="","",ROW()-11)</f>
        <v/>
      </c>
      <c r="B22" s="148" t="n"/>
      <c r="C22" s="148" t="n"/>
      <c r="D22" s="148" t="n"/>
      <c r="E22" s="148" t="n"/>
      <c r="F22" s="148" t="n"/>
      <c r="G22" s="155">
        <f>IF(E22="","",IF(E22="Ruído (dosimetria)",IF(D22&gt;P_DOS_LIM,ROUNDUP(D22*P_DOS_PCT,0),IF(N(D22)&gt;0,1,0)),IF(E22="Ausência de risco",0,IF(OR(D22="",N(D22)&gt;0),1,0))))</f>
        <v/>
      </c>
      <c r="H22" s="148" t="n"/>
      <c r="I22" s="155">
        <f>IF(E22="","",IF(H22&lt;&gt;"",H22,G22))</f>
        <v/>
      </c>
      <c r="J22" s="156">
        <f>IF(E22="","",IF(E22="Químico (laboratório)",IFERROR(INDEX(EX_VALOR,MATCH(F22,EX_NOMES,0)),0),IF(E22="Avaliação qualitativa",IF(SUMIFS($I$12:$I$111,$E$12:$E$111,"Avaliação qualitativa")&gt;1,P_QUAL_VARIAS,P_QUAL_UNICA),IFERROR(INDEX(T_FIXO,MATCH(E22,T_TIPOS,0)),0))))</f>
        <v/>
      </c>
      <c r="K22" s="156">
        <f>IF(E22="","",I22*J22)</f>
        <v/>
      </c>
      <c r="L22" s="280">
        <f>IF(E22="","",I22*IFERROR(INDEX(T_HORAS,MATCH(E22,T_TIPOS,0)),0))</f>
        <v/>
      </c>
      <c r="M22" s="155">
        <f>IF(E22="","",I22*P_FOLHAS_AV)</f>
        <v/>
      </c>
      <c r="N22" s="148" t="n"/>
      <c r="O22" s="158">
        <f>IF(AND(E22="Químico (laboratório)",F22&lt;&gt;"",COUNTIFS($F$12:F22,F22,$E$12:E22,"Químico (laboratório)")=1),MAX($O$11:O21)+1,"")</f>
        <v/>
      </c>
      <c r="P22" s="159">
        <f>IF(E22="","",IF(IFERROR(INDEX(T_PORDIA,MATCH(E22,T_TIPOS,0)),0)&gt;0,I22/INDEX(T_PORDIA,MATCH(E22,T_TIPOS,0)),0))</f>
        <v/>
      </c>
    </row>
    <row r="23">
      <c r="A23" s="155">
        <f>IF(E23="","",ROW()-11)</f>
        <v/>
      </c>
      <c r="B23" s="148" t="n"/>
      <c r="C23" s="148" t="n"/>
      <c r="D23" s="148" t="n"/>
      <c r="E23" s="148" t="n"/>
      <c r="F23" s="148" t="n"/>
      <c r="G23" s="155">
        <f>IF(E23="","",IF(E23="Ruído (dosimetria)",IF(D23&gt;P_DOS_LIM,ROUNDUP(D23*P_DOS_PCT,0),IF(N(D23)&gt;0,1,0)),IF(E23="Ausência de risco",0,IF(OR(D23="",N(D23)&gt;0),1,0))))</f>
        <v/>
      </c>
      <c r="H23" s="148" t="n"/>
      <c r="I23" s="155">
        <f>IF(E23="","",IF(H23&lt;&gt;"",H23,G23))</f>
        <v/>
      </c>
      <c r="J23" s="156">
        <f>IF(E23="","",IF(E23="Químico (laboratório)",IFERROR(INDEX(EX_VALOR,MATCH(F23,EX_NOMES,0)),0),IF(E23="Avaliação qualitativa",IF(SUMIFS($I$12:$I$111,$E$12:$E$111,"Avaliação qualitativa")&gt;1,P_QUAL_VARIAS,P_QUAL_UNICA),IFERROR(INDEX(T_FIXO,MATCH(E23,T_TIPOS,0)),0))))</f>
        <v/>
      </c>
      <c r="K23" s="156">
        <f>IF(E23="","",I23*J23)</f>
        <v/>
      </c>
      <c r="L23" s="280">
        <f>IF(E23="","",I23*IFERROR(INDEX(T_HORAS,MATCH(E23,T_TIPOS,0)),0))</f>
        <v/>
      </c>
      <c r="M23" s="155">
        <f>IF(E23="","",I23*P_FOLHAS_AV)</f>
        <v/>
      </c>
      <c r="N23" s="148" t="n"/>
      <c r="O23" s="158">
        <f>IF(AND(E23="Químico (laboratório)",F23&lt;&gt;"",COUNTIFS($F$12:F23,F23,$E$12:E23,"Químico (laboratório)")=1),MAX($O$11:O22)+1,"")</f>
        <v/>
      </c>
      <c r="P23" s="159">
        <f>IF(E23="","",IF(IFERROR(INDEX(T_PORDIA,MATCH(E23,T_TIPOS,0)),0)&gt;0,I23/INDEX(T_PORDIA,MATCH(E23,T_TIPOS,0)),0))</f>
        <v/>
      </c>
    </row>
    <row r="24">
      <c r="A24" s="155">
        <f>IF(E24="","",ROW()-11)</f>
        <v/>
      </c>
      <c r="B24" s="148" t="n"/>
      <c r="C24" s="148" t="n"/>
      <c r="D24" s="148" t="n"/>
      <c r="E24" s="148" t="n"/>
      <c r="F24" s="148" t="n"/>
      <c r="G24" s="155">
        <f>IF(E24="","",IF(E24="Ruído (dosimetria)",IF(D24&gt;P_DOS_LIM,ROUNDUP(D24*P_DOS_PCT,0),IF(N(D24)&gt;0,1,0)),IF(E24="Ausência de risco",0,IF(OR(D24="",N(D24)&gt;0),1,0))))</f>
        <v/>
      </c>
      <c r="H24" s="148" t="n"/>
      <c r="I24" s="155">
        <f>IF(E24="","",IF(H24&lt;&gt;"",H24,G24))</f>
        <v/>
      </c>
      <c r="J24" s="156">
        <f>IF(E24="","",IF(E24="Químico (laboratório)",IFERROR(INDEX(EX_VALOR,MATCH(F24,EX_NOMES,0)),0),IF(E24="Avaliação qualitativa",IF(SUMIFS($I$12:$I$111,$E$12:$E$111,"Avaliação qualitativa")&gt;1,P_QUAL_VARIAS,P_QUAL_UNICA),IFERROR(INDEX(T_FIXO,MATCH(E24,T_TIPOS,0)),0))))</f>
        <v/>
      </c>
      <c r="K24" s="156">
        <f>IF(E24="","",I24*J24)</f>
        <v/>
      </c>
      <c r="L24" s="280">
        <f>IF(E24="","",I24*IFERROR(INDEX(T_HORAS,MATCH(E24,T_TIPOS,0)),0))</f>
        <v/>
      </c>
      <c r="M24" s="155">
        <f>IF(E24="","",I24*P_FOLHAS_AV)</f>
        <v/>
      </c>
      <c r="N24" s="148" t="n"/>
      <c r="O24" s="158">
        <f>IF(AND(E24="Químico (laboratório)",F24&lt;&gt;"",COUNTIFS($F$12:F24,F24,$E$12:E24,"Químico (laboratório)")=1),MAX($O$11:O23)+1,"")</f>
        <v/>
      </c>
      <c r="P24" s="159">
        <f>IF(E24="","",IF(IFERROR(INDEX(T_PORDIA,MATCH(E24,T_TIPOS,0)),0)&gt;0,I24/INDEX(T_PORDIA,MATCH(E24,T_TIPOS,0)),0))</f>
        <v/>
      </c>
    </row>
    <row r="25">
      <c r="A25" s="155">
        <f>IF(E25="","",ROW()-11)</f>
        <v/>
      </c>
      <c r="B25" s="148" t="n"/>
      <c r="C25" s="148" t="n"/>
      <c r="D25" s="148" t="n"/>
      <c r="E25" s="148" t="n"/>
      <c r="F25" s="148" t="n"/>
      <c r="G25" s="155">
        <f>IF(E25="","",IF(E25="Ruído (dosimetria)",IF(D25&gt;P_DOS_LIM,ROUNDUP(D25*P_DOS_PCT,0),IF(N(D25)&gt;0,1,0)),IF(E25="Ausência de risco",0,IF(OR(D25="",N(D25)&gt;0),1,0))))</f>
        <v/>
      </c>
      <c r="H25" s="148" t="n"/>
      <c r="I25" s="155">
        <f>IF(E25="","",IF(H25&lt;&gt;"",H25,G25))</f>
        <v/>
      </c>
      <c r="J25" s="156">
        <f>IF(E25="","",IF(E25="Químico (laboratório)",IFERROR(INDEX(EX_VALOR,MATCH(F25,EX_NOMES,0)),0),IF(E25="Avaliação qualitativa",IF(SUMIFS($I$12:$I$111,$E$12:$E$111,"Avaliação qualitativa")&gt;1,P_QUAL_VARIAS,P_QUAL_UNICA),IFERROR(INDEX(T_FIXO,MATCH(E25,T_TIPOS,0)),0))))</f>
        <v/>
      </c>
      <c r="K25" s="156">
        <f>IF(E25="","",I25*J25)</f>
        <v/>
      </c>
      <c r="L25" s="280">
        <f>IF(E25="","",I25*IFERROR(INDEX(T_HORAS,MATCH(E25,T_TIPOS,0)),0))</f>
        <v/>
      </c>
      <c r="M25" s="155">
        <f>IF(E25="","",I25*P_FOLHAS_AV)</f>
        <v/>
      </c>
      <c r="N25" s="148" t="n"/>
      <c r="O25" s="158">
        <f>IF(AND(E25="Químico (laboratório)",F25&lt;&gt;"",COUNTIFS($F$12:F25,F25,$E$12:E25,"Químico (laboratório)")=1),MAX($O$11:O24)+1,"")</f>
        <v/>
      </c>
      <c r="P25" s="159">
        <f>IF(E25="","",IF(IFERROR(INDEX(T_PORDIA,MATCH(E25,T_TIPOS,0)),0)&gt;0,I25/INDEX(T_PORDIA,MATCH(E25,T_TIPOS,0)),0))</f>
        <v/>
      </c>
    </row>
    <row r="26">
      <c r="A26" s="155">
        <f>IF(E26="","",ROW()-11)</f>
        <v/>
      </c>
      <c r="B26" s="148" t="n"/>
      <c r="C26" s="148" t="n"/>
      <c r="D26" s="148" t="n"/>
      <c r="E26" s="148" t="n"/>
      <c r="F26" s="148" t="n"/>
      <c r="G26" s="155">
        <f>IF(E26="","",IF(E26="Ruído (dosimetria)",IF(D26&gt;P_DOS_LIM,ROUNDUP(D26*P_DOS_PCT,0),IF(N(D26)&gt;0,1,0)),IF(E26="Ausência de risco",0,IF(OR(D26="",N(D26)&gt;0),1,0))))</f>
        <v/>
      </c>
      <c r="H26" s="148" t="n"/>
      <c r="I26" s="155">
        <f>IF(E26="","",IF(H26&lt;&gt;"",H26,G26))</f>
        <v/>
      </c>
      <c r="J26" s="156">
        <f>IF(E26="","",IF(E26="Químico (laboratório)",IFERROR(INDEX(EX_VALOR,MATCH(F26,EX_NOMES,0)),0),IF(E26="Avaliação qualitativa",IF(SUMIFS($I$12:$I$111,$E$12:$E$111,"Avaliação qualitativa")&gt;1,P_QUAL_VARIAS,P_QUAL_UNICA),IFERROR(INDEX(T_FIXO,MATCH(E26,T_TIPOS,0)),0))))</f>
        <v/>
      </c>
      <c r="K26" s="156">
        <f>IF(E26="","",I26*J26)</f>
        <v/>
      </c>
      <c r="L26" s="280">
        <f>IF(E26="","",I26*IFERROR(INDEX(T_HORAS,MATCH(E26,T_TIPOS,0)),0))</f>
        <v/>
      </c>
      <c r="M26" s="155">
        <f>IF(E26="","",I26*P_FOLHAS_AV)</f>
        <v/>
      </c>
      <c r="N26" s="148" t="n"/>
      <c r="O26" s="158">
        <f>IF(AND(E26="Químico (laboratório)",F26&lt;&gt;"",COUNTIFS($F$12:F26,F26,$E$12:E26,"Químico (laboratório)")=1),MAX($O$11:O25)+1,"")</f>
        <v/>
      </c>
      <c r="P26" s="159">
        <f>IF(E26="","",IF(IFERROR(INDEX(T_PORDIA,MATCH(E26,T_TIPOS,0)),0)&gt;0,I26/INDEX(T_PORDIA,MATCH(E26,T_TIPOS,0)),0))</f>
        <v/>
      </c>
    </row>
    <row r="27">
      <c r="A27" s="155">
        <f>IF(E27="","",ROW()-11)</f>
        <v/>
      </c>
      <c r="B27" s="148" t="n"/>
      <c r="C27" s="148" t="n"/>
      <c r="D27" s="148" t="n"/>
      <c r="E27" s="148" t="n"/>
      <c r="F27" s="148" t="n"/>
      <c r="G27" s="155">
        <f>IF(E27="","",IF(E27="Ruído (dosimetria)",IF(D27&gt;P_DOS_LIM,ROUNDUP(D27*P_DOS_PCT,0),IF(N(D27)&gt;0,1,0)),IF(E27="Ausência de risco",0,IF(OR(D27="",N(D27)&gt;0),1,0))))</f>
        <v/>
      </c>
      <c r="H27" s="148" t="n"/>
      <c r="I27" s="155">
        <f>IF(E27="","",IF(H27&lt;&gt;"",H27,G27))</f>
        <v/>
      </c>
      <c r="J27" s="156">
        <f>IF(E27="","",IF(E27="Químico (laboratório)",IFERROR(INDEX(EX_VALOR,MATCH(F27,EX_NOMES,0)),0),IF(E27="Avaliação qualitativa",IF(SUMIFS($I$12:$I$111,$E$12:$E$111,"Avaliação qualitativa")&gt;1,P_QUAL_VARIAS,P_QUAL_UNICA),IFERROR(INDEX(T_FIXO,MATCH(E27,T_TIPOS,0)),0))))</f>
        <v/>
      </c>
      <c r="K27" s="156">
        <f>IF(E27="","",I27*J27)</f>
        <v/>
      </c>
      <c r="L27" s="280">
        <f>IF(E27="","",I27*IFERROR(INDEX(T_HORAS,MATCH(E27,T_TIPOS,0)),0))</f>
        <v/>
      </c>
      <c r="M27" s="155">
        <f>IF(E27="","",I27*P_FOLHAS_AV)</f>
        <v/>
      </c>
      <c r="N27" s="148" t="n"/>
      <c r="O27" s="158">
        <f>IF(AND(E27="Químico (laboratório)",F27&lt;&gt;"",COUNTIFS($F$12:F27,F27,$E$12:E27,"Químico (laboratório)")=1),MAX($O$11:O26)+1,"")</f>
        <v/>
      </c>
      <c r="P27" s="159">
        <f>IF(E27="","",IF(IFERROR(INDEX(T_PORDIA,MATCH(E27,T_TIPOS,0)),0)&gt;0,I27/INDEX(T_PORDIA,MATCH(E27,T_TIPOS,0)),0))</f>
        <v/>
      </c>
    </row>
    <row r="28">
      <c r="A28" s="155">
        <f>IF(E28="","",ROW()-11)</f>
        <v/>
      </c>
      <c r="B28" s="148" t="n"/>
      <c r="C28" s="148" t="n"/>
      <c r="D28" s="148" t="n"/>
      <c r="E28" s="148" t="n"/>
      <c r="F28" s="148" t="n"/>
      <c r="G28" s="155">
        <f>IF(E28="","",IF(E28="Ruído (dosimetria)",IF(D28&gt;P_DOS_LIM,ROUNDUP(D28*P_DOS_PCT,0),IF(N(D28)&gt;0,1,0)),IF(E28="Ausência de risco",0,IF(OR(D28="",N(D28)&gt;0),1,0))))</f>
        <v/>
      </c>
      <c r="H28" s="148" t="n"/>
      <c r="I28" s="155">
        <f>IF(E28="","",IF(H28&lt;&gt;"",H28,G28))</f>
        <v/>
      </c>
      <c r="J28" s="156">
        <f>IF(E28="","",IF(E28="Químico (laboratório)",IFERROR(INDEX(EX_VALOR,MATCH(F28,EX_NOMES,0)),0),IF(E28="Avaliação qualitativa",IF(SUMIFS($I$12:$I$111,$E$12:$E$111,"Avaliação qualitativa")&gt;1,P_QUAL_VARIAS,P_QUAL_UNICA),IFERROR(INDEX(T_FIXO,MATCH(E28,T_TIPOS,0)),0))))</f>
        <v/>
      </c>
      <c r="K28" s="156">
        <f>IF(E28="","",I28*J28)</f>
        <v/>
      </c>
      <c r="L28" s="280">
        <f>IF(E28="","",I28*IFERROR(INDEX(T_HORAS,MATCH(E28,T_TIPOS,0)),0))</f>
        <v/>
      </c>
      <c r="M28" s="155">
        <f>IF(E28="","",I28*P_FOLHAS_AV)</f>
        <v/>
      </c>
      <c r="N28" s="148" t="n"/>
      <c r="O28" s="158">
        <f>IF(AND(E28="Químico (laboratório)",F28&lt;&gt;"",COUNTIFS($F$12:F28,F28,$E$12:E28,"Químico (laboratório)")=1),MAX($O$11:O27)+1,"")</f>
        <v/>
      </c>
      <c r="P28" s="159">
        <f>IF(E28="","",IF(IFERROR(INDEX(T_PORDIA,MATCH(E28,T_TIPOS,0)),0)&gt;0,I28/INDEX(T_PORDIA,MATCH(E28,T_TIPOS,0)),0))</f>
        <v/>
      </c>
    </row>
    <row r="29">
      <c r="A29" s="155">
        <f>IF(E29="","",ROW()-11)</f>
        <v/>
      </c>
      <c r="B29" s="148" t="n"/>
      <c r="C29" s="148" t="n"/>
      <c r="D29" s="148" t="n"/>
      <c r="E29" s="148" t="n"/>
      <c r="F29" s="148" t="n"/>
      <c r="G29" s="155">
        <f>IF(E29="","",IF(E29="Ruído (dosimetria)",IF(D29&gt;P_DOS_LIM,ROUNDUP(D29*P_DOS_PCT,0),IF(N(D29)&gt;0,1,0)),IF(E29="Ausência de risco",0,IF(OR(D29="",N(D29)&gt;0),1,0))))</f>
        <v/>
      </c>
      <c r="H29" s="148" t="n"/>
      <c r="I29" s="155">
        <f>IF(E29="","",IF(H29&lt;&gt;"",H29,G29))</f>
        <v/>
      </c>
      <c r="J29" s="156">
        <f>IF(E29="","",IF(E29="Químico (laboratório)",IFERROR(INDEX(EX_VALOR,MATCH(F29,EX_NOMES,0)),0),IF(E29="Avaliação qualitativa",IF(SUMIFS($I$12:$I$111,$E$12:$E$111,"Avaliação qualitativa")&gt;1,P_QUAL_VARIAS,P_QUAL_UNICA),IFERROR(INDEX(T_FIXO,MATCH(E29,T_TIPOS,0)),0))))</f>
        <v/>
      </c>
      <c r="K29" s="156">
        <f>IF(E29="","",I29*J29)</f>
        <v/>
      </c>
      <c r="L29" s="280">
        <f>IF(E29="","",I29*IFERROR(INDEX(T_HORAS,MATCH(E29,T_TIPOS,0)),0))</f>
        <v/>
      </c>
      <c r="M29" s="155">
        <f>IF(E29="","",I29*P_FOLHAS_AV)</f>
        <v/>
      </c>
      <c r="N29" s="148" t="n"/>
      <c r="O29" s="158">
        <f>IF(AND(E29="Químico (laboratório)",F29&lt;&gt;"",COUNTIFS($F$12:F29,F29,$E$12:E29,"Químico (laboratório)")=1),MAX($O$11:O28)+1,"")</f>
        <v/>
      </c>
      <c r="P29" s="159">
        <f>IF(E29="","",IF(IFERROR(INDEX(T_PORDIA,MATCH(E29,T_TIPOS,0)),0)&gt;0,I29/INDEX(T_PORDIA,MATCH(E29,T_TIPOS,0)),0))</f>
        <v/>
      </c>
    </row>
    <row r="30">
      <c r="A30" s="155">
        <f>IF(E30="","",ROW()-11)</f>
        <v/>
      </c>
      <c r="B30" s="148" t="n"/>
      <c r="C30" s="148" t="n"/>
      <c r="D30" s="148" t="n"/>
      <c r="E30" s="148" t="n"/>
      <c r="F30" s="148" t="n"/>
      <c r="G30" s="155">
        <f>IF(E30="","",IF(E30="Ruído (dosimetria)",IF(D30&gt;P_DOS_LIM,ROUNDUP(D30*P_DOS_PCT,0),IF(N(D30)&gt;0,1,0)),IF(E30="Ausência de risco",0,IF(OR(D30="",N(D30)&gt;0),1,0))))</f>
        <v/>
      </c>
      <c r="H30" s="148" t="n"/>
      <c r="I30" s="155">
        <f>IF(E30="","",IF(H30&lt;&gt;"",H30,G30))</f>
        <v/>
      </c>
      <c r="J30" s="156">
        <f>IF(E30="","",IF(E30="Químico (laboratório)",IFERROR(INDEX(EX_VALOR,MATCH(F30,EX_NOMES,0)),0),IF(E30="Avaliação qualitativa",IF(SUMIFS($I$12:$I$111,$E$12:$E$111,"Avaliação qualitativa")&gt;1,P_QUAL_VARIAS,P_QUAL_UNICA),IFERROR(INDEX(T_FIXO,MATCH(E30,T_TIPOS,0)),0))))</f>
        <v/>
      </c>
      <c r="K30" s="156">
        <f>IF(E30="","",I30*J30)</f>
        <v/>
      </c>
      <c r="L30" s="280">
        <f>IF(E30="","",I30*IFERROR(INDEX(T_HORAS,MATCH(E30,T_TIPOS,0)),0))</f>
        <v/>
      </c>
      <c r="M30" s="155">
        <f>IF(E30="","",I30*P_FOLHAS_AV)</f>
        <v/>
      </c>
      <c r="N30" s="148" t="n"/>
      <c r="O30" s="158">
        <f>IF(AND(E30="Químico (laboratório)",F30&lt;&gt;"",COUNTIFS($F$12:F30,F30,$E$12:E30,"Químico (laboratório)")=1),MAX($O$11:O29)+1,"")</f>
        <v/>
      </c>
      <c r="P30" s="159">
        <f>IF(E30="","",IF(IFERROR(INDEX(T_PORDIA,MATCH(E30,T_TIPOS,0)),0)&gt;0,I30/INDEX(T_PORDIA,MATCH(E30,T_TIPOS,0)),0))</f>
        <v/>
      </c>
    </row>
    <row r="31">
      <c r="A31" s="155">
        <f>IF(E31="","",ROW()-11)</f>
        <v/>
      </c>
      <c r="B31" s="148" t="n"/>
      <c r="C31" s="148" t="n"/>
      <c r="D31" s="148" t="n"/>
      <c r="E31" s="148" t="n"/>
      <c r="F31" s="148" t="n"/>
      <c r="G31" s="155">
        <f>IF(E31="","",IF(E31="Ruído (dosimetria)",IF(D31&gt;P_DOS_LIM,ROUNDUP(D31*P_DOS_PCT,0),IF(N(D31)&gt;0,1,0)),IF(E31="Ausência de risco",0,IF(OR(D31="",N(D31)&gt;0),1,0))))</f>
        <v/>
      </c>
      <c r="H31" s="148" t="n"/>
      <c r="I31" s="155">
        <f>IF(E31="","",IF(H31&lt;&gt;"",H31,G31))</f>
        <v/>
      </c>
      <c r="J31" s="156">
        <f>IF(E31="","",IF(E31="Químico (laboratório)",IFERROR(INDEX(EX_VALOR,MATCH(F31,EX_NOMES,0)),0),IF(E31="Avaliação qualitativa",IF(SUMIFS($I$12:$I$111,$E$12:$E$111,"Avaliação qualitativa")&gt;1,P_QUAL_VARIAS,P_QUAL_UNICA),IFERROR(INDEX(T_FIXO,MATCH(E31,T_TIPOS,0)),0))))</f>
        <v/>
      </c>
      <c r="K31" s="156">
        <f>IF(E31="","",I31*J31)</f>
        <v/>
      </c>
      <c r="L31" s="280">
        <f>IF(E31="","",I31*IFERROR(INDEX(T_HORAS,MATCH(E31,T_TIPOS,0)),0))</f>
        <v/>
      </c>
      <c r="M31" s="155">
        <f>IF(E31="","",I31*P_FOLHAS_AV)</f>
        <v/>
      </c>
      <c r="N31" s="148" t="n"/>
      <c r="O31" s="158">
        <f>IF(AND(E31="Químico (laboratório)",F31&lt;&gt;"",COUNTIFS($F$12:F31,F31,$E$12:E31,"Químico (laboratório)")=1),MAX($O$11:O30)+1,"")</f>
        <v/>
      </c>
      <c r="P31" s="159">
        <f>IF(E31="","",IF(IFERROR(INDEX(T_PORDIA,MATCH(E31,T_TIPOS,0)),0)&gt;0,I31/INDEX(T_PORDIA,MATCH(E31,T_TIPOS,0)),0))</f>
        <v/>
      </c>
    </row>
    <row r="32">
      <c r="A32" s="155">
        <f>IF(E32="","",ROW()-11)</f>
        <v/>
      </c>
      <c r="B32" s="148" t="n"/>
      <c r="C32" s="148" t="n"/>
      <c r="D32" s="148" t="n"/>
      <c r="E32" s="148" t="n"/>
      <c r="F32" s="148" t="n"/>
      <c r="G32" s="155">
        <f>IF(E32="","",IF(E32="Ruído (dosimetria)",IF(D32&gt;P_DOS_LIM,ROUNDUP(D32*P_DOS_PCT,0),IF(N(D32)&gt;0,1,0)),IF(E32="Ausência de risco",0,IF(OR(D32="",N(D32)&gt;0),1,0))))</f>
        <v/>
      </c>
      <c r="H32" s="148" t="n"/>
      <c r="I32" s="155">
        <f>IF(E32="","",IF(H32&lt;&gt;"",H32,G32))</f>
        <v/>
      </c>
      <c r="J32" s="156">
        <f>IF(E32="","",IF(E32="Químico (laboratório)",IFERROR(INDEX(EX_VALOR,MATCH(F32,EX_NOMES,0)),0),IF(E32="Avaliação qualitativa",IF(SUMIFS($I$12:$I$111,$E$12:$E$111,"Avaliação qualitativa")&gt;1,P_QUAL_VARIAS,P_QUAL_UNICA),IFERROR(INDEX(T_FIXO,MATCH(E32,T_TIPOS,0)),0))))</f>
        <v/>
      </c>
      <c r="K32" s="156">
        <f>IF(E32="","",I32*J32)</f>
        <v/>
      </c>
      <c r="L32" s="280">
        <f>IF(E32="","",I32*IFERROR(INDEX(T_HORAS,MATCH(E32,T_TIPOS,0)),0))</f>
        <v/>
      </c>
      <c r="M32" s="155">
        <f>IF(E32="","",I32*P_FOLHAS_AV)</f>
        <v/>
      </c>
      <c r="N32" s="148" t="n"/>
      <c r="O32" s="158">
        <f>IF(AND(E32="Químico (laboratório)",F32&lt;&gt;"",COUNTIFS($F$12:F32,F32,$E$12:E32,"Químico (laboratório)")=1),MAX($O$11:O31)+1,"")</f>
        <v/>
      </c>
      <c r="P32" s="159">
        <f>IF(E32="","",IF(IFERROR(INDEX(T_PORDIA,MATCH(E32,T_TIPOS,0)),0)&gt;0,I32/INDEX(T_PORDIA,MATCH(E32,T_TIPOS,0)),0))</f>
        <v/>
      </c>
    </row>
    <row r="33">
      <c r="A33" s="155">
        <f>IF(E33="","",ROW()-11)</f>
        <v/>
      </c>
      <c r="B33" s="148" t="n"/>
      <c r="C33" s="148" t="n"/>
      <c r="D33" s="148" t="n"/>
      <c r="E33" s="148" t="n"/>
      <c r="F33" s="148" t="n"/>
      <c r="G33" s="155">
        <f>IF(E33="","",IF(E33="Ruído (dosimetria)",IF(D33&gt;P_DOS_LIM,ROUNDUP(D33*P_DOS_PCT,0),IF(N(D33)&gt;0,1,0)),IF(E33="Ausência de risco",0,IF(OR(D33="",N(D33)&gt;0),1,0))))</f>
        <v/>
      </c>
      <c r="H33" s="148" t="n"/>
      <c r="I33" s="155">
        <f>IF(E33="","",IF(H33&lt;&gt;"",H33,G33))</f>
        <v/>
      </c>
      <c r="J33" s="156">
        <f>IF(E33="","",IF(E33="Químico (laboratório)",IFERROR(INDEX(EX_VALOR,MATCH(F33,EX_NOMES,0)),0),IF(E33="Avaliação qualitativa",IF(SUMIFS($I$12:$I$111,$E$12:$E$111,"Avaliação qualitativa")&gt;1,P_QUAL_VARIAS,P_QUAL_UNICA),IFERROR(INDEX(T_FIXO,MATCH(E33,T_TIPOS,0)),0))))</f>
        <v/>
      </c>
      <c r="K33" s="156">
        <f>IF(E33="","",I33*J33)</f>
        <v/>
      </c>
      <c r="L33" s="280">
        <f>IF(E33="","",I33*IFERROR(INDEX(T_HORAS,MATCH(E33,T_TIPOS,0)),0))</f>
        <v/>
      </c>
      <c r="M33" s="155">
        <f>IF(E33="","",I33*P_FOLHAS_AV)</f>
        <v/>
      </c>
      <c r="N33" s="148" t="n"/>
      <c r="O33" s="158">
        <f>IF(AND(E33="Químico (laboratório)",F33&lt;&gt;"",COUNTIFS($F$12:F33,F33,$E$12:E33,"Químico (laboratório)")=1),MAX($O$11:O32)+1,"")</f>
        <v/>
      </c>
      <c r="P33" s="159">
        <f>IF(E33="","",IF(IFERROR(INDEX(T_PORDIA,MATCH(E33,T_TIPOS,0)),0)&gt;0,I33/INDEX(T_PORDIA,MATCH(E33,T_TIPOS,0)),0))</f>
        <v/>
      </c>
    </row>
    <row r="34">
      <c r="A34" s="155">
        <f>IF(E34="","",ROW()-11)</f>
        <v/>
      </c>
      <c r="B34" s="148" t="n"/>
      <c r="C34" s="148" t="n"/>
      <c r="D34" s="148" t="n"/>
      <c r="E34" s="148" t="n"/>
      <c r="F34" s="148" t="n"/>
      <c r="G34" s="155">
        <f>IF(E34="","",IF(E34="Ruído (dosimetria)",IF(D34&gt;P_DOS_LIM,ROUNDUP(D34*P_DOS_PCT,0),IF(N(D34)&gt;0,1,0)),IF(E34="Ausência de risco",0,IF(OR(D34="",N(D34)&gt;0),1,0))))</f>
        <v/>
      </c>
      <c r="H34" s="148" t="n"/>
      <c r="I34" s="155">
        <f>IF(E34="","",IF(H34&lt;&gt;"",H34,G34))</f>
        <v/>
      </c>
      <c r="J34" s="156">
        <f>IF(E34="","",IF(E34="Químico (laboratório)",IFERROR(INDEX(EX_VALOR,MATCH(F34,EX_NOMES,0)),0),IF(E34="Avaliação qualitativa",IF(SUMIFS($I$12:$I$111,$E$12:$E$111,"Avaliação qualitativa")&gt;1,P_QUAL_VARIAS,P_QUAL_UNICA),IFERROR(INDEX(T_FIXO,MATCH(E34,T_TIPOS,0)),0))))</f>
        <v/>
      </c>
      <c r="K34" s="156">
        <f>IF(E34="","",I34*J34)</f>
        <v/>
      </c>
      <c r="L34" s="280">
        <f>IF(E34="","",I34*IFERROR(INDEX(T_HORAS,MATCH(E34,T_TIPOS,0)),0))</f>
        <v/>
      </c>
      <c r="M34" s="155">
        <f>IF(E34="","",I34*P_FOLHAS_AV)</f>
        <v/>
      </c>
      <c r="N34" s="148" t="n"/>
      <c r="O34" s="158">
        <f>IF(AND(E34="Químico (laboratório)",F34&lt;&gt;"",COUNTIFS($F$12:F34,F34,$E$12:E34,"Químico (laboratório)")=1),MAX($O$11:O33)+1,"")</f>
        <v/>
      </c>
      <c r="P34" s="159">
        <f>IF(E34="","",IF(IFERROR(INDEX(T_PORDIA,MATCH(E34,T_TIPOS,0)),0)&gt;0,I34/INDEX(T_PORDIA,MATCH(E34,T_TIPOS,0)),0))</f>
        <v/>
      </c>
    </row>
    <row r="35">
      <c r="A35" s="155">
        <f>IF(E35="","",ROW()-11)</f>
        <v/>
      </c>
      <c r="B35" s="148" t="n"/>
      <c r="C35" s="148" t="n"/>
      <c r="D35" s="148" t="n"/>
      <c r="E35" s="148" t="n"/>
      <c r="F35" s="148" t="n"/>
      <c r="G35" s="155">
        <f>IF(E35="","",IF(E35="Ruído (dosimetria)",IF(D35&gt;P_DOS_LIM,ROUNDUP(D35*P_DOS_PCT,0),IF(N(D35)&gt;0,1,0)),IF(E35="Ausência de risco",0,IF(OR(D35="",N(D35)&gt;0),1,0))))</f>
        <v/>
      </c>
      <c r="H35" s="148" t="n"/>
      <c r="I35" s="155">
        <f>IF(E35="","",IF(H35&lt;&gt;"",H35,G35))</f>
        <v/>
      </c>
      <c r="J35" s="156">
        <f>IF(E35="","",IF(E35="Químico (laboratório)",IFERROR(INDEX(EX_VALOR,MATCH(F35,EX_NOMES,0)),0),IF(E35="Avaliação qualitativa",IF(SUMIFS($I$12:$I$111,$E$12:$E$111,"Avaliação qualitativa")&gt;1,P_QUAL_VARIAS,P_QUAL_UNICA),IFERROR(INDEX(T_FIXO,MATCH(E35,T_TIPOS,0)),0))))</f>
        <v/>
      </c>
      <c r="K35" s="156">
        <f>IF(E35="","",I35*J35)</f>
        <v/>
      </c>
      <c r="L35" s="280">
        <f>IF(E35="","",I35*IFERROR(INDEX(T_HORAS,MATCH(E35,T_TIPOS,0)),0))</f>
        <v/>
      </c>
      <c r="M35" s="155">
        <f>IF(E35="","",I35*P_FOLHAS_AV)</f>
        <v/>
      </c>
      <c r="N35" s="148" t="n"/>
      <c r="O35" s="158">
        <f>IF(AND(E35="Químico (laboratório)",F35&lt;&gt;"",COUNTIFS($F$12:F35,F35,$E$12:E35,"Químico (laboratório)")=1),MAX($O$11:O34)+1,"")</f>
        <v/>
      </c>
      <c r="P35" s="159">
        <f>IF(E35="","",IF(IFERROR(INDEX(T_PORDIA,MATCH(E35,T_TIPOS,0)),0)&gt;0,I35/INDEX(T_PORDIA,MATCH(E35,T_TIPOS,0)),0))</f>
        <v/>
      </c>
    </row>
    <row r="36">
      <c r="A36" s="155">
        <f>IF(E36="","",ROW()-11)</f>
        <v/>
      </c>
      <c r="B36" s="148" t="n"/>
      <c r="C36" s="148" t="n"/>
      <c r="D36" s="148" t="n"/>
      <c r="E36" s="148" t="n"/>
      <c r="F36" s="148" t="n"/>
      <c r="G36" s="155">
        <f>IF(E36="","",IF(E36="Ruído (dosimetria)",IF(D36&gt;P_DOS_LIM,ROUNDUP(D36*P_DOS_PCT,0),IF(N(D36)&gt;0,1,0)),IF(E36="Ausência de risco",0,IF(OR(D36="",N(D36)&gt;0),1,0))))</f>
        <v/>
      </c>
      <c r="H36" s="148" t="n"/>
      <c r="I36" s="155">
        <f>IF(E36="","",IF(H36&lt;&gt;"",H36,G36))</f>
        <v/>
      </c>
      <c r="J36" s="156">
        <f>IF(E36="","",IF(E36="Químico (laboratório)",IFERROR(INDEX(EX_VALOR,MATCH(F36,EX_NOMES,0)),0),IF(E36="Avaliação qualitativa",IF(SUMIFS($I$12:$I$111,$E$12:$E$111,"Avaliação qualitativa")&gt;1,P_QUAL_VARIAS,P_QUAL_UNICA),IFERROR(INDEX(T_FIXO,MATCH(E36,T_TIPOS,0)),0))))</f>
        <v/>
      </c>
      <c r="K36" s="156">
        <f>IF(E36="","",I36*J36)</f>
        <v/>
      </c>
      <c r="L36" s="280">
        <f>IF(E36="","",I36*IFERROR(INDEX(T_HORAS,MATCH(E36,T_TIPOS,0)),0))</f>
        <v/>
      </c>
      <c r="M36" s="155">
        <f>IF(E36="","",I36*P_FOLHAS_AV)</f>
        <v/>
      </c>
      <c r="N36" s="148" t="n"/>
      <c r="O36" s="158">
        <f>IF(AND(E36="Químico (laboratório)",F36&lt;&gt;"",COUNTIFS($F$12:F36,F36,$E$12:E36,"Químico (laboratório)")=1),MAX($O$11:O35)+1,"")</f>
        <v/>
      </c>
      <c r="P36" s="159">
        <f>IF(E36="","",IF(IFERROR(INDEX(T_PORDIA,MATCH(E36,T_TIPOS,0)),0)&gt;0,I36/INDEX(T_PORDIA,MATCH(E36,T_TIPOS,0)),0))</f>
        <v/>
      </c>
    </row>
    <row r="37">
      <c r="A37" s="155">
        <f>IF(E37="","",ROW()-11)</f>
        <v/>
      </c>
      <c r="B37" s="148" t="n"/>
      <c r="C37" s="148" t="n"/>
      <c r="D37" s="148" t="n"/>
      <c r="E37" s="148" t="n"/>
      <c r="F37" s="148" t="n"/>
      <c r="G37" s="155">
        <f>IF(E37="","",IF(E37="Ruído (dosimetria)",IF(D37&gt;P_DOS_LIM,ROUNDUP(D37*P_DOS_PCT,0),IF(N(D37)&gt;0,1,0)),IF(E37="Ausência de risco",0,IF(OR(D37="",N(D37)&gt;0),1,0))))</f>
        <v/>
      </c>
      <c r="H37" s="148" t="n"/>
      <c r="I37" s="155">
        <f>IF(E37="","",IF(H37&lt;&gt;"",H37,G37))</f>
        <v/>
      </c>
      <c r="J37" s="156">
        <f>IF(E37="","",IF(E37="Químico (laboratório)",IFERROR(INDEX(EX_VALOR,MATCH(F37,EX_NOMES,0)),0),IF(E37="Avaliação qualitativa",IF(SUMIFS($I$12:$I$111,$E$12:$E$111,"Avaliação qualitativa")&gt;1,P_QUAL_VARIAS,P_QUAL_UNICA),IFERROR(INDEX(T_FIXO,MATCH(E37,T_TIPOS,0)),0))))</f>
        <v/>
      </c>
      <c r="K37" s="156">
        <f>IF(E37="","",I37*J37)</f>
        <v/>
      </c>
      <c r="L37" s="280">
        <f>IF(E37="","",I37*IFERROR(INDEX(T_HORAS,MATCH(E37,T_TIPOS,0)),0))</f>
        <v/>
      </c>
      <c r="M37" s="155">
        <f>IF(E37="","",I37*P_FOLHAS_AV)</f>
        <v/>
      </c>
      <c r="N37" s="148" t="n"/>
      <c r="O37" s="158">
        <f>IF(AND(E37="Químico (laboratório)",F37&lt;&gt;"",COUNTIFS($F$12:F37,F37,$E$12:E37,"Químico (laboratório)")=1),MAX($O$11:O36)+1,"")</f>
        <v/>
      </c>
      <c r="P37" s="159">
        <f>IF(E37="","",IF(IFERROR(INDEX(T_PORDIA,MATCH(E37,T_TIPOS,0)),0)&gt;0,I37/INDEX(T_PORDIA,MATCH(E37,T_TIPOS,0)),0))</f>
        <v/>
      </c>
    </row>
    <row r="38">
      <c r="A38" s="155">
        <f>IF(E38="","",ROW()-11)</f>
        <v/>
      </c>
      <c r="B38" s="148" t="n"/>
      <c r="C38" s="148" t="n"/>
      <c r="D38" s="148" t="n"/>
      <c r="E38" s="148" t="n"/>
      <c r="F38" s="148" t="n"/>
      <c r="G38" s="155">
        <f>IF(E38="","",IF(E38="Ruído (dosimetria)",IF(D38&gt;P_DOS_LIM,ROUNDUP(D38*P_DOS_PCT,0),IF(N(D38)&gt;0,1,0)),IF(E38="Ausência de risco",0,IF(OR(D38="",N(D38)&gt;0),1,0))))</f>
        <v/>
      </c>
      <c r="H38" s="148" t="n"/>
      <c r="I38" s="155">
        <f>IF(E38="","",IF(H38&lt;&gt;"",H38,G38))</f>
        <v/>
      </c>
      <c r="J38" s="156">
        <f>IF(E38="","",IF(E38="Químico (laboratório)",IFERROR(INDEX(EX_VALOR,MATCH(F38,EX_NOMES,0)),0),IF(E38="Avaliação qualitativa",IF(SUMIFS($I$12:$I$111,$E$12:$E$111,"Avaliação qualitativa")&gt;1,P_QUAL_VARIAS,P_QUAL_UNICA),IFERROR(INDEX(T_FIXO,MATCH(E38,T_TIPOS,0)),0))))</f>
        <v/>
      </c>
      <c r="K38" s="156">
        <f>IF(E38="","",I38*J38)</f>
        <v/>
      </c>
      <c r="L38" s="280">
        <f>IF(E38="","",I38*IFERROR(INDEX(T_HORAS,MATCH(E38,T_TIPOS,0)),0))</f>
        <v/>
      </c>
      <c r="M38" s="155">
        <f>IF(E38="","",I38*P_FOLHAS_AV)</f>
        <v/>
      </c>
      <c r="N38" s="148" t="n"/>
      <c r="O38" s="158">
        <f>IF(AND(E38="Químico (laboratório)",F38&lt;&gt;"",COUNTIFS($F$12:F38,F38,$E$12:E38,"Químico (laboratório)")=1),MAX($O$11:O37)+1,"")</f>
        <v/>
      </c>
      <c r="P38" s="159">
        <f>IF(E38="","",IF(IFERROR(INDEX(T_PORDIA,MATCH(E38,T_TIPOS,0)),0)&gt;0,I38/INDEX(T_PORDIA,MATCH(E38,T_TIPOS,0)),0))</f>
        <v/>
      </c>
    </row>
    <row r="39">
      <c r="A39" s="155">
        <f>IF(E39="","",ROW()-11)</f>
        <v/>
      </c>
      <c r="B39" s="148" t="n"/>
      <c r="C39" s="148" t="n"/>
      <c r="D39" s="148" t="n"/>
      <c r="E39" s="148" t="n"/>
      <c r="F39" s="148" t="n"/>
      <c r="G39" s="155">
        <f>IF(E39="","",IF(E39="Ruído (dosimetria)",IF(D39&gt;P_DOS_LIM,ROUNDUP(D39*P_DOS_PCT,0),IF(N(D39)&gt;0,1,0)),IF(E39="Ausência de risco",0,IF(OR(D39="",N(D39)&gt;0),1,0))))</f>
        <v/>
      </c>
      <c r="H39" s="148" t="n"/>
      <c r="I39" s="155">
        <f>IF(E39="","",IF(H39&lt;&gt;"",H39,G39))</f>
        <v/>
      </c>
      <c r="J39" s="156">
        <f>IF(E39="","",IF(E39="Químico (laboratório)",IFERROR(INDEX(EX_VALOR,MATCH(F39,EX_NOMES,0)),0),IF(E39="Avaliação qualitativa",IF(SUMIFS($I$12:$I$111,$E$12:$E$111,"Avaliação qualitativa")&gt;1,P_QUAL_VARIAS,P_QUAL_UNICA),IFERROR(INDEX(T_FIXO,MATCH(E39,T_TIPOS,0)),0))))</f>
        <v/>
      </c>
      <c r="K39" s="156">
        <f>IF(E39="","",I39*J39)</f>
        <v/>
      </c>
      <c r="L39" s="280">
        <f>IF(E39="","",I39*IFERROR(INDEX(T_HORAS,MATCH(E39,T_TIPOS,0)),0))</f>
        <v/>
      </c>
      <c r="M39" s="155">
        <f>IF(E39="","",I39*P_FOLHAS_AV)</f>
        <v/>
      </c>
      <c r="N39" s="148" t="n"/>
      <c r="O39" s="158">
        <f>IF(AND(E39="Químico (laboratório)",F39&lt;&gt;"",COUNTIFS($F$12:F39,F39,$E$12:E39,"Químico (laboratório)")=1),MAX($O$11:O38)+1,"")</f>
        <v/>
      </c>
      <c r="P39" s="159">
        <f>IF(E39="","",IF(IFERROR(INDEX(T_PORDIA,MATCH(E39,T_TIPOS,0)),0)&gt;0,I39/INDEX(T_PORDIA,MATCH(E39,T_TIPOS,0)),0))</f>
        <v/>
      </c>
    </row>
    <row r="40">
      <c r="A40" s="155">
        <f>IF(E40="","",ROW()-11)</f>
        <v/>
      </c>
      <c r="B40" s="148" t="n"/>
      <c r="C40" s="148" t="n"/>
      <c r="D40" s="148" t="n"/>
      <c r="E40" s="148" t="n"/>
      <c r="F40" s="148" t="n"/>
      <c r="G40" s="155">
        <f>IF(E40="","",IF(E40="Ruído (dosimetria)",IF(D40&gt;P_DOS_LIM,ROUNDUP(D40*P_DOS_PCT,0),IF(N(D40)&gt;0,1,0)),IF(E40="Ausência de risco",0,IF(OR(D40="",N(D40)&gt;0),1,0))))</f>
        <v/>
      </c>
      <c r="H40" s="148" t="n"/>
      <c r="I40" s="155">
        <f>IF(E40="","",IF(H40&lt;&gt;"",H40,G40))</f>
        <v/>
      </c>
      <c r="J40" s="156">
        <f>IF(E40="","",IF(E40="Químico (laboratório)",IFERROR(INDEX(EX_VALOR,MATCH(F40,EX_NOMES,0)),0),IF(E40="Avaliação qualitativa",IF(SUMIFS($I$12:$I$111,$E$12:$E$111,"Avaliação qualitativa")&gt;1,P_QUAL_VARIAS,P_QUAL_UNICA),IFERROR(INDEX(T_FIXO,MATCH(E40,T_TIPOS,0)),0))))</f>
        <v/>
      </c>
      <c r="K40" s="156">
        <f>IF(E40="","",I40*J40)</f>
        <v/>
      </c>
      <c r="L40" s="280">
        <f>IF(E40="","",I40*IFERROR(INDEX(T_HORAS,MATCH(E40,T_TIPOS,0)),0))</f>
        <v/>
      </c>
      <c r="M40" s="155">
        <f>IF(E40="","",I40*P_FOLHAS_AV)</f>
        <v/>
      </c>
      <c r="N40" s="148" t="n"/>
      <c r="O40" s="158">
        <f>IF(AND(E40="Químico (laboratório)",F40&lt;&gt;"",COUNTIFS($F$12:F40,F40,$E$12:E40,"Químico (laboratório)")=1),MAX($O$11:O39)+1,"")</f>
        <v/>
      </c>
      <c r="P40" s="159">
        <f>IF(E40="","",IF(IFERROR(INDEX(T_PORDIA,MATCH(E40,T_TIPOS,0)),0)&gt;0,I40/INDEX(T_PORDIA,MATCH(E40,T_TIPOS,0)),0))</f>
        <v/>
      </c>
    </row>
    <row r="41">
      <c r="A41" s="155">
        <f>IF(E41="","",ROW()-11)</f>
        <v/>
      </c>
      <c r="B41" s="148" t="n"/>
      <c r="C41" s="148" t="n"/>
      <c r="D41" s="148" t="n"/>
      <c r="E41" s="148" t="n"/>
      <c r="F41" s="148" t="n"/>
      <c r="G41" s="155">
        <f>IF(E41="","",IF(E41="Ruído (dosimetria)",IF(D41&gt;P_DOS_LIM,ROUNDUP(D41*P_DOS_PCT,0),IF(N(D41)&gt;0,1,0)),IF(E41="Ausência de risco",0,IF(OR(D41="",N(D41)&gt;0),1,0))))</f>
        <v/>
      </c>
      <c r="H41" s="148" t="n"/>
      <c r="I41" s="155">
        <f>IF(E41="","",IF(H41&lt;&gt;"",H41,G41))</f>
        <v/>
      </c>
      <c r="J41" s="156">
        <f>IF(E41="","",IF(E41="Químico (laboratório)",IFERROR(INDEX(EX_VALOR,MATCH(F41,EX_NOMES,0)),0),IF(E41="Avaliação qualitativa",IF(SUMIFS($I$12:$I$111,$E$12:$E$111,"Avaliação qualitativa")&gt;1,P_QUAL_VARIAS,P_QUAL_UNICA),IFERROR(INDEX(T_FIXO,MATCH(E41,T_TIPOS,0)),0))))</f>
        <v/>
      </c>
      <c r="K41" s="156">
        <f>IF(E41="","",I41*J41)</f>
        <v/>
      </c>
      <c r="L41" s="280">
        <f>IF(E41="","",I41*IFERROR(INDEX(T_HORAS,MATCH(E41,T_TIPOS,0)),0))</f>
        <v/>
      </c>
      <c r="M41" s="155">
        <f>IF(E41="","",I41*P_FOLHAS_AV)</f>
        <v/>
      </c>
      <c r="N41" s="148" t="n"/>
      <c r="O41" s="158">
        <f>IF(AND(E41="Químico (laboratório)",F41&lt;&gt;"",COUNTIFS($F$12:F41,F41,$E$12:E41,"Químico (laboratório)")=1),MAX($O$11:O40)+1,"")</f>
        <v/>
      </c>
      <c r="P41" s="159">
        <f>IF(E41="","",IF(IFERROR(INDEX(T_PORDIA,MATCH(E41,T_TIPOS,0)),0)&gt;0,I41/INDEX(T_PORDIA,MATCH(E41,T_TIPOS,0)),0))</f>
        <v/>
      </c>
    </row>
    <row r="42">
      <c r="A42" s="155">
        <f>IF(E42="","",ROW()-11)</f>
        <v/>
      </c>
      <c r="B42" s="148" t="n"/>
      <c r="C42" s="148" t="n"/>
      <c r="D42" s="148" t="n"/>
      <c r="E42" s="148" t="n"/>
      <c r="F42" s="148" t="n"/>
      <c r="G42" s="155">
        <f>IF(E42="","",IF(E42="Ruído (dosimetria)",IF(D42&gt;P_DOS_LIM,ROUNDUP(D42*P_DOS_PCT,0),IF(N(D42)&gt;0,1,0)),IF(E42="Ausência de risco",0,IF(OR(D42="",N(D42)&gt;0),1,0))))</f>
        <v/>
      </c>
      <c r="H42" s="148" t="n"/>
      <c r="I42" s="155">
        <f>IF(E42="","",IF(H42&lt;&gt;"",H42,G42))</f>
        <v/>
      </c>
      <c r="J42" s="156">
        <f>IF(E42="","",IF(E42="Químico (laboratório)",IFERROR(INDEX(EX_VALOR,MATCH(F42,EX_NOMES,0)),0),IF(E42="Avaliação qualitativa",IF(SUMIFS($I$12:$I$111,$E$12:$E$111,"Avaliação qualitativa")&gt;1,P_QUAL_VARIAS,P_QUAL_UNICA),IFERROR(INDEX(T_FIXO,MATCH(E42,T_TIPOS,0)),0))))</f>
        <v/>
      </c>
      <c r="K42" s="156">
        <f>IF(E42="","",I42*J42)</f>
        <v/>
      </c>
      <c r="L42" s="280">
        <f>IF(E42="","",I42*IFERROR(INDEX(T_HORAS,MATCH(E42,T_TIPOS,0)),0))</f>
        <v/>
      </c>
      <c r="M42" s="155">
        <f>IF(E42="","",I42*P_FOLHAS_AV)</f>
        <v/>
      </c>
      <c r="N42" s="148" t="n"/>
      <c r="O42" s="158">
        <f>IF(AND(E42="Químico (laboratório)",F42&lt;&gt;"",COUNTIFS($F$12:F42,F42,$E$12:E42,"Químico (laboratório)")=1),MAX($O$11:O41)+1,"")</f>
        <v/>
      </c>
      <c r="P42" s="159">
        <f>IF(E42="","",IF(IFERROR(INDEX(T_PORDIA,MATCH(E42,T_TIPOS,0)),0)&gt;0,I42/INDEX(T_PORDIA,MATCH(E42,T_TIPOS,0)),0))</f>
        <v/>
      </c>
    </row>
    <row r="43">
      <c r="A43" s="155">
        <f>IF(E43="","",ROW()-11)</f>
        <v/>
      </c>
      <c r="B43" s="148" t="n"/>
      <c r="C43" s="148" t="n"/>
      <c r="D43" s="148" t="n"/>
      <c r="E43" s="148" t="n"/>
      <c r="F43" s="148" t="n"/>
      <c r="G43" s="155">
        <f>IF(E43="","",IF(E43="Ruído (dosimetria)",IF(D43&gt;P_DOS_LIM,ROUNDUP(D43*P_DOS_PCT,0),IF(N(D43)&gt;0,1,0)),IF(E43="Ausência de risco",0,IF(OR(D43="",N(D43)&gt;0),1,0))))</f>
        <v/>
      </c>
      <c r="H43" s="148" t="n"/>
      <c r="I43" s="155">
        <f>IF(E43="","",IF(H43&lt;&gt;"",H43,G43))</f>
        <v/>
      </c>
      <c r="J43" s="156">
        <f>IF(E43="","",IF(E43="Químico (laboratório)",IFERROR(INDEX(EX_VALOR,MATCH(F43,EX_NOMES,0)),0),IF(E43="Avaliação qualitativa",IF(SUMIFS($I$12:$I$111,$E$12:$E$111,"Avaliação qualitativa")&gt;1,P_QUAL_VARIAS,P_QUAL_UNICA),IFERROR(INDEX(T_FIXO,MATCH(E43,T_TIPOS,0)),0))))</f>
        <v/>
      </c>
      <c r="K43" s="156">
        <f>IF(E43="","",I43*J43)</f>
        <v/>
      </c>
      <c r="L43" s="280">
        <f>IF(E43="","",I43*IFERROR(INDEX(T_HORAS,MATCH(E43,T_TIPOS,0)),0))</f>
        <v/>
      </c>
      <c r="M43" s="155">
        <f>IF(E43="","",I43*P_FOLHAS_AV)</f>
        <v/>
      </c>
      <c r="N43" s="148" t="n"/>
      <c r="O43" s="158">
        <f>IF(AND(E43="Químico (laboratório)",F43&lt;&gt;"",COUNTIFS($F$12:F43,F43,$E$12:E43,"Químico (laboratório)")=1),MAX($O$11:O42)+1,"")</f>
        <v/>
      </c>
      <c r="P43" s="159">
        <f>IF(E43="","",IF(IFERROR(INDEX(T_PORDIA,MATCH(E43,T_TIPOS,0)),0)&gt;0,I43/INDEX(T_PORDIA,MATCH(E43,T_TIPOS,0)),0))</f>
        <v/>
      </c>
    </row>
    <row r="44">
      <c r="A44" s="155">
        <f>IF(E44="","",ROW()-11)</f>
        <v/>
      </c>
      <c r="B44" s="148" t="n"/>
      <c r="C44" s="148" t="n"/>
      <c r="D44" s="148" t="n"/>
      <c r="E44" s="148" t="n"/>
      <c r="F44" s="148" t="n"/>
      <c r="G44" s="155">
        <f>IF(E44="","",IF(E44="Ruído (dosimetria)",IF(D44&gt;P_DOS_LIM,ROUNDUP(D44*P_DOS_PCT,0),IF(N(D44)&gt;0,1,0)),IF(E44="Ausência de risco",0,IF(OR(D44="",N(D44)&gt;0),1,0))))</f>
        <v/>
      </c>
      <c r="H44" s="148" t="n"/>
      <c r="I44" s="155">
        <f>IF(E44="","",IF(H44&lt;&gt;"",H44,G44))</f>
        <v/>
      </c>
      <c r="J44" s="156">
        <f>IF(E44="","",IF(E44="Químico (laboratório)",IFERROR(INDEX(EX_VALOR,MATCH(F44,EX_NOMES,0)),0),IF(E44="Avaliação qualitativa",IF(SUMIFS($I$12:$I$111,$E$12:$E$111,"Avaliação qualitativa")&gt;1,P_QUAL_VARIAS,P_QUAL_UNICA),IFERROR(INDEX(T_FIXO,MATCH(E44,T_TIPOS,0)),0))))</f>
        <v/>
      </c>
      <c r="K44" s="156">
        <f>IF(E44="","",I44*J44)</f>
        <v/>
      </c>
      <c r="L44" s="280">
        <f>IF(E44="","",I44*IFERROR(INDEX(T_HORAS,MATCH(E44,T_TIPOS,0)),0))</f>
        <v/>
      </c>
      <c r="M44" s="155">
        <f>IF(E44="","",I44*P_FOLHAS_AV)</f>
        <v/>
      </c>
      <c r="N44" s="148" t="n"/>
      <c r="O44" s="158">
        <f>IF(AND(E44="Químico (laboratório)",F44&lt;&gt;"",COUNTIFS($F$12:F44,F44,$E$12:E44,"Químico (laboratório)")=1),MAX($O$11:O43)+1,"")</f>
        <v/>
      </c>
      <c r="P44" s="159">
        <f>IF(E44="","",IF(IFERROR(INDEX(T_PORDIA,MATCH(E44,T_TIPOS,0)),0)&gt;0,I44/INDEX(T_PORDIA,MATCH(E44,T_TIPOS,0)),0))</f>
        <v/>
      </c>
    </row>
    <row r="45">
      <c r="A45" s="155">
        <f>IF(E45="","",ROW()-11)</f>
        <v/>
      </c>
      <c r="B45" s="148" t="n"/>
      <c r="C45" s="148" t="n"/>
      <c r="D45" s="148" t="n"/>
      <c r="E45" s="148" t="n"/>
      <c r="F45" s="148" t="n"/>
      <c r="G45" s="155">
        <f>IF(E45="","",IF(E45="Ruído (dosimetria)",IF(D45&gt;P_DOS_LIM,ROUNDUP(D45*P_DOS_PCT,0),IF(N(D45)&gt;0,1,0)),IF(E45="Ausência de risco",0,IF(OR(D45="",N(D45)&gt;0),1,0))))</f>
        <v/>
      </c>
      <c r="H45" s="148" t="n"/>
      <c r="I45" s="155">
        <f>IF(E45="","",IF(H45&lt;&gt;"",H45,G45))</f>
        <v/>
      </c>
      <c r="J45" s="156">
        <f>IF(E45="","",IF(E45="Químico (laboratório)",IFERROR(INDEX(EX_VALOR,MATCH(F45,EX_NOMES,0)),0),IF(E45="Avaliação qualitativa",IF(SUMIFS($I$12:$I$111,$E$12:$E$111,"Avaliação qualitativa")&gt;1,P_QUAL_VARIAS,P_QUAL_UNICA),IFERROR(INDEX(T_FIXO,MATCH(E45,T_TIPOS,0)),0))))</f>
        <v/>
      </c>
      <c r="K45" s="156">
        <f>IF(E45="","",I45*J45)</f>
        <v/>
      </c>
      <c r="L45" s="280">
        <f>IF(E45="","",I45*IFERROR(INDEX(T_HORAS,MATCH(E45,T_TIPOS,0)),0))</f>
        <v/>
      </c>
      <c r="M45" s="155">
        <f>IF(E45="","",I45*P_FOLHAS_AV)</f>
        <v/>
      </c>
      <c r="N45" s="148" t="n"/>
      <c r="O45" s="158">
        <f>IF(AND(E45="Químico (laboratório)",F45&lt;&gt;"",COUNTIFS($F$12:F45,F45,$E$12:E45,"Químico (laboratório)")=1),MAX($O$11:O44)+1,"")</f>
        <v/>
      </c>
      <c r="P45" s="159">
        <f>IF(E45="","",IF(IFERROR(INDEX(T_PORDIA,MATCH(E45,T_TIPOS,0)),0)&gt;0,I45/INDEX(T_PORDIA,MATCH(E45,T_TIPOS,0)),0))</f>
        <v/>
      </c>
    </row>
    <row r="46">
      <c r="A46" s="155">
        <f>IF(E46="","",ROW()-11)</f>
        <v/>
      </c>
      <c r="B46" s="148" t="n"/>
      <c r="C46" s="148" t="n"/>
      <c r="D46" s="148" t="n"/>
      <c r="E46" s="148" t="n"/>
      <c r="F46" s="148" t="n"/>
      <c r="G46" s="155">
        <f>IF(E46="","",IF(E46="Ruído (dosimetria)",IF(D46&gt;P_DOS_LIM,ROUNDUP(D46*P_DOS_PCT,0),IF(N(D46)&gt;0,1,0)),IF(E46="Ausência de risco",0,IF(OR(D46="",N(D46)&gt;0),1,0))))</f>
        <v/>
      </c>
      <c r="H46" s="148" t="n"/>
      <c r="I46" s="155">
        <f>IF(E46="","",IF(H46&lt;&gt;"",H46,G46))</f>
        <v/>
      </c>
      <c r="J46" s="156">
        <f>IF(E46="","",IF(E46="Químico (laboratório)",IFERROR(INDEX(EX_VALOR,MATCH(F46,EX_NOMES,0)),0),IF(E46="Avaliação qualitativa",IF(SUMIFS($I$12:$I$111,$E$12:$E$111,"Avaliação qualitativa")&gt;1,P_QUAL_VARIAS,P_QUAL_UNICA),IFERROR(INDEX(T_FIXO,MATCH(E46,T_TIPOS,0)),0))))</f>
        <v/>
      </c>
      <c r="K46" s="156">
        <f>IF(E46="","",I46*J46)</f>
        <v/>
      </c>
      <c r="L46" s="280">
        <f>IF(E46="","",I46*IFERROR(INDEX(T_HORAS,MATCH(E46,T_TIPOS,0)),0))</f>
        <v/>
      </c>
      <c r="M46" s="155">
        <f>IF(E46="","",I46*P_FOLHAS_AV)</f>
        <v/>
      </c>
      <c r="N46" s="148" t="n"/>
      <c r="O46" s="158">
        <f>IF(AND(E46="Químico (laboratório)",F46&lt;&gt;"",COUNTIFS($F$12:F46,F46,$E$12:E46,"Químico (laboratório)")=1),MAX($O$11:O45)+1,"")</f>
        <v/>
      </c>
      <c r="P46" s="159">
        <f>IF(E46="","",IF(IFERROR(INDEX(T_PORDIA,MATCH(E46,T_TIPOS,0)),0)&gt;0,I46/INDEX(T_PORDIA,MATCH(E46,T_TIPOS,0)),0))</f>
        <v/>
      </c>
    </row>
    <row r="47">
      <c r="A47" s="155">
        <f>IF(E47="","",ROW()-11)</f>
        <v/>
      </c>
      <c r="B47" s="148" t="n"/>
      <c r="C47" s="148" t="n"/>
      <c r="D47" s="148" t="n"/>
      <c r="E47" s="148" t="n"/>
      <c r="F47" s="148" t="n"/>
      <c r="G47" s="155">
        <f>IF(E47="","",IF(E47="Ruído (dosimetria)",IF(D47&gt;P_DOS_LIM,ROUNDUP(D47*P_DOS_PCT,0),IF(N(D47)&gt;0,1,0)),IF(E47="Ausência de risco",0,IF(OR(D47="",N(D47)&gt;0),1,0))))</f>
        <v/>
      </c>
      <c r="H47" s="148" t="n"/>
      <c r="I47" s="155">
        <f>IF(E47="","",IF(H47&lt;&gt;"",H47,G47))</f>
        <v/>
      </c>
      <c r="J47" s="156">
        <f>IF(E47="","",IF(E47="Químico (laboratório)",IFERROR(INDEX(EX_VALOR,MATCH(F47,EX_NOMES,0)),0),IF(E47="Avaliação qualitativa",IF(SUMIFS($I$12:$I$111,$E$12:$E$111,"Avaliação qualitativa")&gt;1,P_QUAL_VARIAS,P_QUAL_UNICA),IFERROR(INDEX(T_FIXO,MATCH(E47,T_TIPOS,0)),0))))</f>
        <v/>
      </c>
      <c r="K47" s="156">
        <f>IF(E47="","",I47*J47)</f>
        <v/>
      </c>
      <c r="L47" s="280">
        <f>IF(E47="","",I47*IFERROR(INDEX(T_HORAS,MATCH(E47,T_TIPOS,0)),0))</f>
        <v/>
      </c>
      <c r="M47" s="155">
        <f>IF(E47="","",I47*P_FOLHAS_AV)</f>
        <v/>
      </c>
      <c r="N47" s="148" t="n"/>
      <c r="O47" s="158">
        <f>IF(AND(E47="Químico (laboratório)",F47&lt;&gt;"",COUNTIFS($F$12:F47,F47,$E$12:E47,"Químico (laboratório)")=1),MAX($O$11:O46)+1,"")</f>
        <v/>
      </c>
      <c r="P47" s="159">
        <f>IF(E47="","",IF(IFERROR(INDEX(T_PORDIA,MATCH(E47,T_TIPOS,0)),0)&gt;0,I47/INDEX(T_PORDIA,MATCH(E47,T_TIPOS,0)),0))</f>
        <v/>
      </c>
    </row>
    <row r="48">
      <c r="A48" s="155">
        <f>IF(E48="","",ROW()-11)</f>
        <v/>
      </c>
      <c r="B48" s="148" t="n"/>
      <c r="C48" s="148" t="n"/>
      <c r="D48" s="148" t="n"/>
      <c r="E48" s="148" t="n"/>
      <c r="F48" s="148" t="n"/>
      <c r="G48" s="155">
        <f>IF(E48="","",IF(E48="Ruído (dosimetria)",IF(D48&gt;P_DOS_LIM,ROUNDUP(D48*P_DOS_PCT,0),IF(N(D48)&gt;0,1,0)),IF(E48="Ausência de risco",0,IF(OR(D48="",N(D48)&gt;0),1,0))))</f>
        <v/>
      </c>
      <c r="H48" s="148" t="n"/>
      <c r="I48" s="155">
        <f>IF(E48="","",IF(H48&lt;&gt;"",H48,G48))</f>
        <v/>
      </c>
      <c r="J48" s="156">
        <f>IF(E48="","",IF(E48="Químico (laboratório)",IFERROR(INDEX(EX_VALOR,MATCH(F48,EX_NOMES,0)),0),IF(E48="Avaliação qualitativa",IF(SUMIFS($I$12:$I$111,$E$12:$E$111,"Avaliação qualitativa")&gt;1,P_QUAL_VARIAS,P_QUAL_UNICA),IFERROR(INDEX(T_FIXO,MATCH(E48,T_TIPOS,0)),0))))</f>
        <v/>
      </c>
      <c r="K48" s="156">
        <f>IF(E48="","",I48*J48)</f>
        <v/>
      </c>
      <c r="L48" s="280">
        <f>IF(E48="","",I48*IFERROR(INDEX(T_HORAS,MATCH(E48,T_TIPOS,0)),0))</f>
        <v/>
      </c>
      <c r="M48" s="155">
        <f>IF(E48="","",I48*P_FOLHAS_AV)</f>
        <v/>
      </c>
      <c r="N48" s="148" t="n"/>
      <c r="O48" s="158">
        <f>IF(AND(E48="Químico (laboratório)",F48&lt;&gt;"",COUNTIFS($F$12:F48,F48,$E$12:E48,"Químico (laboratório)")=1),MAX($O$11:O47)+1,"")</f>
        <v/>
      </c>
      <c r="P48" s="159">
        <f>IF(E48="","",IF(IFERROR(INDEX(T_PORDIA,MATCH(E48,T_TIPOS,0)),0)&gt;0,I48/INDEX(T_PORDIA,MATCH(E48,T_TIPOS,0)),0))</f>
        <v/>
      </c>
    </row>
    <row r="49">
      <c r="A49" s="155">
        <f>IF(E49="","",ROW()-11)</f>
        <v/>
      </c>
      <c r="B49" s="148" t="n"/>
      <c r="C49" s="148" t="n"/>
      <c r="D49" s="148" t="n"/>
      <c r="E49" s="148" t="n"/>
      <c r="F49" s="148" t="n"/>
      <c r="G49" s="155">
        <f>IF(E49="","",IF(E49="Ruído (dosimetria)",IF(D49&gt;P_DOS_LIM,ROUNDUP(D49*P_DOS_PCT,0),IF(N(D49)&gt;0,1,0)),IF(E49="Ausência de risco",0,IF(OR(D49="",N(D49)&gt;0),1,0))))</f>
        <v/>
      </c>
      <c r="H49" s="148" t="n"/>
      <c r="I49" s="155">
        <f>IF(E49="","",IF(H49&lt;&gt;"",H49,G49))</f>
        <v/>
      </c>
      <c r="J49" s="156">
        <f>IF(E49="","",IF(E49="Químico (laboratório)",IFERROR(INDEX(EX_VALOR,MATCH(F49,EX_NOMES,0)),0),IF(E49="Avaliação qualitativa",IF(SUMIFS($I$12:$I$111,$E$12:$E$111,"Avaliação qualitativa")&gt;1,P_QUAL_VARIAS,P_QUAL_UNICA),IFERROR(INDEX(T_FIXO,MATCH(E49,T_TIPOS,0)),0))))</f>
        <v/>
      </c>
      <c r="K49" s="156">
        <f>IF(E49="","",I49*J49)</f>
        <v/>
      </c>
      <c r="L49" s="280">
        <f>IF(E49="","",I49*IFERROR(INDEX(T_HORAS,MATCH(E49,T_TIPOS,0)),0))</f>
        <v/>
      </c>
      <c r="M49" s="155">
        <f>IF(E49="","",I49*P_FOLHAS_AV)</f>
        <v/>
      </c>
      <c r="N49" s="148" t="n"/>
      <c r="O49" s="158">
        <f>IF(AND(E49="Químico (laboratório)",F49&lt;&gt;"",COUNTIFS($F$12:F49,F49,$E$12:E49,"Químico (laboratório)")=1),MAX($O$11:O48)+1,"")</f>
        <v/>
      </c>
      <c r="P49" s="159">
        <f>IF(E49="","",IF(IFERROR(INDEX(T_PORDIA,MATCH(E49,T_TIPOS,0)),0)&gt;0,I49/INDEX(T_PORDIA,MATCH(E49,T_TIPOS,0)),0))</f>
        <v/>
      </c>
    </row>
    <row r="50">
      <c r="A50" s="155">
        <f>IF(E50="","",ROW()-11)</f>
        <v/>
      </c>
      <c r="B50" s="148" t="n"/>
      <c r="C50" s="148" t="n"/>
      <c r="D50" s="148" t="n"/>
      <c r="E50" s="148" t="n"/>
      <c r="F50" s="148" t="n"/>
      <c r="G50" s="155">
        <f>IF(E50="","",IF(E50="Ruído (dosimetria)",IF(D50&gt;P_DOS_LIM,ROUNDUP(D50*P_DOS_PCT,0),IF(N(D50)&gt;0,1,0)),IF(E50="Ausência de risco",0,IF(OR(D50="",N(D50)&gt;0),1,0))))</f>
        <v/>
      </c>
      <c r="H50" s="148" t="n"/>
      <c r="I50" s="155">
        <f>IF(E50="","",IF(H50&lt;&gt;"",H50,G50))</f>
        <v/>
      </c>
      <c r="J50" s="156">
        <f>IF(E50="","",IF(E50="Químico (laboratório)",IFERROR(INDEX(EX_VALOR,MATCH(F50,EX_NOMES,0)),0),IF(E50="Avaliação qualitativa",IF(SUMIFS($I$12:$I$111,$E$12:$E$111,"Avaliação qualitativa")&gt;1,P_QUAL_VARIAS,P_QUAL_UNICA),IFERROR(INDEX(T_FIXO,MATCH(E50,T_TIPOS,0)),0))))</f>
        <v/>
      </c>
      <c r="K50" s="156">
        <f>IF(E50="","",I50*J50)</f>
        <v/>
      </c>
      <c r="L50" s="280">
        <f>IF(E50="","",I50*IFERROR(INDEX(T_HORAS,MATCH(E50,T_TIPOS,0)),0))</f>
        <v/>
      </c>
      <c r="M50" s="155">
        <f>IF(E50="","",I50*P_FOLHAS_AV)</f>
        <v/>
      </c>
      <c r="N50" s="148" t="n"/>
      <c r="O50" s="158">
        <f>IF(AND(E50="Químico (laboratório)",F50&lt;&gt;"",COUNTIFS($F$12:F50,F50,$E$12:E50,"Químico (laboratório)")=1),MAX($O$11:O49)+1,"")</f>
        <v/>
      </c>
      <c r="P50" s="159">
        <f>IF(E50="","",IF(IFERROR(INDEX(T_PORDIA,MATCH(E50,T_TIPOS,0)),0)&gt;0,I50/INDEX(T_PORDIA,MATCH(E50,T_TIPOS,0)),0))</f>
        <v/>
      </c>
    </row>
    <row r="51">
      <c r="A51" s="155">
        <f>IF(E51="","",ROW()-11)</f>
        <v/>
      </c>
      <c r="B51" s="148" t="n"/>
      <c r="C51" s="148" t="n"/>
      <c r="D51" s="148" t="n"/>
      <c r="E51" s="148" t="n"/>
      <c r="F51" s="148" t="n"/>
      <c r="G51" s="155">
        <f>IF(E51="","",IF(E51="Ruído (dosimetria)",IF(D51&gt;P_DOS_LIM,ROUNDUP(D51*P_DOS_PCT,0),IF(N(D51)&gt;0,1,0)),IF(E51="Ausência de risco",0,IF(OR(D51="",N(D51)&gt;0),1,0))))</f>
        <v/>
      </c>
      <c r="H51" s="148" t="n"/>
      <c r="I51" s="155">
        <f>IF(E51="","",IF(H51&lt;&gt;"",H51,G51))</f>
        <v/>
      </c>
      <c r="J51" s="156">
        <f>IF(E51="","",IF(E51="Químico (laboratório)",IFERROR(INDEX(EX_VALOR,MATCH(F51,EX_NOMES,0)),0),IF(E51="Avaliação qualitativa",IF(SUMIFS($I$12:$I$111,$E$12:$E$111,"Avaliação qualitativa")&gt;1,P_QUAL_VARIAS,P_QUAL_UNICA),IFERROR(INDEX(T_FIXO,MATCH(E51,T_TIPOS,0)),0))))</f>
        <v/>
      </c>
      <c r="K51" s="156">
        <f>IF(E51="","",I51*J51)</f>
        <v/>
      </c>
      <c r="L51" s="280">
        <f>IF(E51="","",I51*IFERROR(INDEX(T_HORAS,MATCH(E51,T_TIPOS,0)),0))</f>
        <v/>
      </c>
      <c r="M51" s="155">
        <f>IF(E51="","",I51*P_FOLHAS_AV)</f>
        <v/>
      </c>
      <c r="N51" s="148" t="n"/>
      <c r="O51" s="158">
        <f>IF(AND(E51="Químico (laboratório)",F51&lt;&gt;"",COUNTIFS($F$12:F51,F51,$E$12:E51,"Químico (laboratório)")=1),MAX($O$11:O50)+1,"")</f>
        <v/>
      </c>
      <c r="P51" s="159">
        <f>IF(E51="","",IF(IFERROR(INDEX(T_PORDIA,MATCH(E51,T_TIPOS,0)),0)&gt;0,I51/INDEX(T_PORDIA,MATCH(E51,T_TIPOS,0)),0))</f>
        <v/>
      </c>
    </row>
    <row r="52">
      <c r="A52" s="155">
        <f>IF(E52="","",ROW()-11)</f>
        <v/>
      </c>
      <c r="B52" s="148" t="n"/>
      <c r="C52" s="148" t="n"/>
      <c r="D52" s="148" t="n"/>
      <c r="E52" s="148" t="n"/>
      <c r="F52" s="148" t="n"/>
      <c r="G52" s="155">
        <f>IF(E52="","",IF(E52="Ruído (dosimetria)",IF(D52&gt;P_DOS_LIM,ROUNDUP(D52*P_DOS_PCT,0),IF(N(D52)&gt;0,1,0)),IF(E52="Ausência de risco",0,IF(OR(D52="",N(D52)&gt;0),1,0))))</f>
        <v/>
      </c>
      <c r="H52" s="148" t="n"/>
      <c r="I52" s="155">
        <f>IF(E52="","",IF(H52&lt;&gt;"",H52,G52))</f>
        <v/>
      </c>
      <c r="J52" s="156">
        <f>IF(E52="","",IF(E52="Químico (laboratório)",IFERROR(INDEX(EX_VALOR,MATCH(F52,EX_NOMES,0)),0),IF(E52="Avaliação qualitativa",IF(SUMIFS($I$12:$I$111,$E$12:$E$111,"Avaliação qualitativa")&gt;1,P_QUAL_VARIAS,P_QUAL_UNICA),IFERROR(INDEX(T_FIXO,MATCH(E52,T_TIPOS,0)),0))))</f>
        <v/>
      </c>
      <c r="K52" s="156">
        <f>IF(E52="","",I52*J52)</f>
        <v/>
      </c>
      <c r="L52" s="280">
        <f>IF(E52="","",I52*IFERROR(INDEX(T_HORAS,MATCH(E52,T_TIPOS,0)),0))</f>
        <v/>
      </c>
      <c r="M52" s="155">
        <f>IF(E52="","",I52*P_FOLHAS_AV)</f>
        <v/>
      </c>
      <c r="N52" s="148" t="n"/>
      <c r="O52" s="158">
        <f>IF(AND(E52="Químico (laboratório)",F52&lt;&gt;"",COUNTIFS($F$12:F52,F52,$E$12:E52,"Químico (laboratório)")=1),MAX($O$11:O51)+1,"")</f>
        <v/>
      </c>
      <c r="P52" s="159">
        <f>IF(E52="","",IF(IFERROR(INDEX(T_PORDIA,MATCH(E52,T_TIPOS,0)),0)&gt;0,I52/INDEX(T_PORDIA,MATCH(E52,T_TIPOS,0)),0))</f>
        <v/>
      </c>
    </row>
    <row r="53">
      <c r="A53" s="155">
        <f>IF(E53="","",ROW()-11)</f>
        <v/>
      </c>
      <c r="B53" s="148" t="n"/>
      <c r="C53" s="148" t="n"/>
      <c r="D53" s="148" t="n"/>
      <c r="E53" s="148" t="n"/>
      <c r="F53" s="148" t="n"/>
      <c r="G53" s="155">
        <f>IF(E53="","",IF(E53="Ruído (dosimetria)",IF(D53&gt;P_DOS_LIM,ROUNDUP(D53*P_DOS_PCT,0),IF(N(D53)&gt;0,1,0)),IF(E53="Ausência de risco",0,IF(OR(D53="",N(D53)&gt;0),1,0))))</f>
        <v/>
      </c>
      <c r="H53" s="148" t="n"/>
      <c r="I53" s="155">
        <f>IF(E53="","",IF(H53&lt;&gt;"",H53,G53))</f>
        <v/>
      </c>
      <c r="J53" s="156">
        <f>IF(E53="","",IF(E53="Químico (laboratório)",IFERROR(INDEX(EX_VALOR,MATCH(F53,EX_NOMES,0)),0),IF(E53="Avaliação qualitativa",IF(SUMIFS($I$12:$I$111,$E$12:$E$111,"Avaliação qualitativa")&gt;1,P_QUAL_VARIAS,P_QUAL_UNICA),IFERROR(INDEX(T_FIXO,MATCH(E53,T_TIPOS,0)),0))))</f>
        <v/>
      </c>
      <c r="K53" s="156">
        <f>IF(E53="","",I53*J53)</f>
        <v/>
      </c>
      <c r="L53" s="280">
        <f>IF(E53="","",I53*IFERROR(INDEX(T_HORAS,MATCH(E53,T_TIPOS,0)),0))</f>
        <v/>
      </c>
      <c r="M53" s="155">
        <f>IF(E53="","",I53*P_FOLHAS_AV)</f>
        <v/>
      </c>
      <c r="N53" s="148" t="n"/>
      <c r="O53" s="158">
        <f>IF(AND(E53="Químico (laboratório)",F53&lt;&gt;"",COUNTIFS($F$12:F53,F53,$E$12:E53,"Químico (laboratório)")=1),MAX($O$11:O52)+1,"")</f>
        <v/>
      </c>
      <c r="P53" s="159">
        <f>IF(E53="","",IF(IFERROR(INDEX(T_PORDIA,MATCH(E53,T_TIPOS,0)),0)&gt;0,I53/INDEX(T_PORDIA,MATCH(E53,T_TIPOS,0)),0))</f>
        <v/>
      </c>
    </row>
    <row r="54">
      <c r="A54" s="155">
        <f>IF(E54="","",ROW()-11)</f>
        <v/>
      </c>
      <c r="B54" s="148" t="n"/>
      <c r="C54" s="148" t="n"/>
      <c r="D54" s="148" t="n"/>
      <c r="E54" s="148" t="n"/>
      <c r="F54" s="148" t="n"/>
      <c r="G54" s="155">
        <f>IF(E54="","",IF(E54="Ruído (dosimetria)",IF(D54&gt;P_DOS_LIM,ROUNDUP(D54*P_DOS_PCT,0),IF(N(D54)&gt;0,1,0)),IF(E54="Ausência de risco",0,IF(OR(D54="",N(D54)&gt;0),1,0))))</f>
        <v/>
      </c>
      <c r="H54" s="148" t="n"/>
      <c r="I54" s="155">
        <f>IF(E54="","",IF(H54&lt;&gt;"",H54,G54))</f>
        <v/>
      </c>
      <c r="J54" s="156">
        <f>IF(E54="","",IF(E54="Químico (laboratório)",IFERROR(INDEX(EX_VALOR,MATCH(F54,EX_NOMES,0)),0),IF(E54="Avaliação qualitativa",IF(SUMIFS($I$12:$I$111,$E$12:$E$111,"Avaliação qualitativa")&gt;1,P_QUAL_VARIAS,P_QUAL_UNICA),IFERROR(INDEX(T_FIXO,MATCH(E54,T_TIPOS,0)),0))))</f>
        <v/>
      </c>
      <c r="K54" s="156">
        <f>IF(E54="","",I54*J54)</f>
        <v/>
      </c>
      <c r="L54" s="280">
        <f>IF(E54="","",I54*IFERROR(INDEX(T_HORAS,MATCH(E54,T_TIPOS,0)),0))</f>
        <v/>
      </c>
      <c r="M54" s="155">
        <f>IF(E54="","",I54*P_FOLHAS_AV)</f>
        <v/>
      </c>
      <c r="N54" s="148" t="n"/>
      <c r="O54" s="158">
        <f>IF(AND(E54="Químico (laboratório)",F54&lt;&gt;"",COUNTIFS($F$12:F54,F54,$E$12:E54,"Químico (laboratório)")=1),MAX($O$11:O53)+1,"")</f>
        <v/>
      </c>
      <c r="P54" s="159">
        <f>IF(E54="","",IF(IFERROR(INDEX(T_PORDIA,MATCH(E54,T_TIPOS,0)),0)&gt;0,I54/INDEX(T_PORDIA,MATCH(E54,T_TIPOS,0)),0))</f>
        <v/>
      </c>
    </row>
    <row r="55">
      <c r="A55" s="155">
        <f>IF(E55="","",ROW()-11)</f>
        <v/>
      </c>
      <c r="B55" s="148" t="n"/>
      <c r="C55" s="148" t="n"/>
      <c r="D55" s="148" t="n"/>
      <c r="E55" s="148" t="n"/>
      <c r="F55" s="148" t="n"/>
      <c r="G55" s="155">
        <f>IF(E55="","",IF(E55="Ruído (dosimetria)",IF(D55&gt;P_DOS_LIM,ROUNDUP(D55*P_DOS_PCT,0),IF(N(D55)&gt;0,1,0)),IF(E55="Ausência de risco",0,IF(OR(D55="",N(D55)&gt;0),1,0))))</f>
        <v/>
      </c>
      <c r="H55" s="148" t="n"/>
      <c r="I55" s="155">
        <f>IF(E55="","",IF(H55&lt;&gt;"",H55,G55))</f>
        <v/>
      </c>
      <c r="J55" s="156">
        <f>IF(E55="","",IF(E55="Químico (laboratório)",IFERROR(INDEX(EX_VALOR,MATCH(F55,EX_NOMES,0)),0),IF(E55="Avaliação qualitativa",IF(SUMIFS($I$12:$I$111,$E$12:$E$111,"Avaliação qualitativa")&gt;1,P_QUAL_VARIAS,P_QUAL_UNICA),IFERROR(INDEX(T_FIXO,MATCH(E55,T_TIPOS,0)),0))))</f>
        <v/>
      </c>
      <c r="K55" s="156">
        <f>IF(E55="","",I55*J55)</f>
        <v/>
      </c>
      <c r="L55" s="280">
        <f>IF(E55="","",I55*IFERROR(INDEX(T_HORAS,MATCH(E55,T_TIPOS,0)),0))</f>
        <v/>
      </c>
      <c r="M55" s="155">
        <f>IF(E55="","",I55*P_FOLHAS_AV)</f>
        <v/>
      </c>
      <c r="N55" s="148" t="n"/>
      <c r="O55" s="158">
        <f>IF(AND(E55="Químico (laboratório)",F55&lt;&gt;"",COUNTIFS($F$12:F55,F55,$E$12:E55,"Químico (laboratório)")=1),MAX($O$11:O54)+1,"")</f>
        <v/>
      </c>
      <c r="P55" s="159">
        <f>IF(E55="","",IF(IFERROR(INDEX(T_PORDIA,MATCH(E55,T_TIPOS,0)),0)&gt;0,I55/INDEX(T_PORDIA,MATCH(E55,T_TIPOS,0)),0))</f>
        <v/>
      </c>
    </row>
    <row r="56">
      <c r="A56" s="155">
        <f>IF(E56="","",ROW()-11)</f>
        <v/>
      </c>
      <c r="B56" s="148" t="n"/>
      <c r="C56" s="148" t="n"/>
      <c r="D56" s="148" t="n"/>
      <c r="E56" s="148" t="n"/>
      <c r="F56" s="148" t="n"/>
      <c r="G56" s="155">
        <f>IF(E56="","",IF(E56="Ruído (dosimetria)",IF(D56&gt;P_DOS_LIM,ROUNDUP(D56*P_DOS_PCT,0),IF(N(D56)&gt;0,1,0)),IF(E56="Ausência de risco",0,IF(OR(D56="",N(D56)&gt;0),1,0))))</f>
        <v/>
      </c>
      <c r="H56" s="148" t="n"/>
      <c r="I56" s="155">
        <f>IF(E56="","",IF(H56&lt;&gt;"",H56,G56))</f>
        <v/>
      </c>
      <c r="J56" s="156">
        <f>IF(E56="","",IF(E56="Químico (laboratório)",IFERROR(INDEX(EX_VALOR,MATCH(F56,EX_NOMES,0)),0),IF(E56="Avaliação qualitativa",IF(SUMIFS($I$12:$I$111,$E$12:$E$111,"Avaliação qualitativa")&gt;1,P_QUAL_VARIAS,P_QUAL_UNICA),IFERROR(INDEX(T_FIXO,MATCH(E56,T_TIPOS,0)),0))))</f>
        <v/>
      </c>
      <c r="K56" s="156">
        <f>IF(E56="","",I56*J56)</f>
        <v/>
      </c>
      <c r="L56" s="280">
        <f>IF(E56="","",I56*IFERROR(INDEX(T_HORAS,MATCH(E56,T_TIPOS,0)),0))</f>
        <v/>
      </c>
      <c r="M56" s="155">
        <f>IF(E56="","",I56*P_FOLHAS_AV)</f>
        <v/>
      </c>
      <c r="N56" s="148" t="n"/>
      <c r="O56" s="158">
        <f>IF(AND(E56="Químico (laboratório)",F56&lt;&gt;"",COUNTIFS($F$12:F56,F56,$E$12:E56,"Químico (laboratório)")=1),MAX($O$11:O55)+1,"")</f>
        <v/>
      </c>
      <c r="P56" s="159">
        <f>IF(E56="","",IF(IFERROR(INDEX(T_PORDIA,MATCH(E56,T_TIPOS,0)),0)&gt;0,I56/INDEX(T_PORDIA,MATCH(E56,T_TIPOS,0)),0))</f>
        <v/>
      </c>
    </row>
    <row r="57">
      <c r="A57" s="155">
        <f>IF(E57="","",ROW()-11)</f>
        <v/>
      </c>
      <c r="B57" s="148" t="n"/>
      <c r="C57" s="148" t="n"/>
      <c r="D57" s="148" t="n"/>
      <c r="E57" s="148" t="n"/>
      <c r="F57" s="148" t="n"/>
      <c r="G57" s="155">
        <f>IF(E57="","",IF(E57="Ruído (dosimetria)",IF(D57&gt;P_DOS_LIM,ROUNDUP(D57*P_DOS_PCT,0),IF(N(D57)&gt;0,1,0)),IF(E57="Ausência de risco",0,IF(OR(D57="",N(D57)&gt;0),1,0))))</f>
        <v/>
      </c>
      <c r="H57" s="148" t="n"/>
      <c r="I57" s="155">
        <f>IF(E57="","",IF(H57&lt;&gt;"",H57,G57))</f>
        <v/>
      </c>
      <c r="J57" s="156">
        <f>IF(E57="","",IF(E57="Químico (laboratório)",IFERROR(INDEX(EX_VALOR,MATCH(F57,EX_NOMES,0)),0),IF(E57="Avaliação qualitativa",IF(SUMIFS($I$12:$I$111,$E$12:$E$111,"Avaliação qualitativa")&gt;1,P_QUAL_VARIAS,P_QUAL_UNICA),IFERROR(INDEX(T_FIXO,MATCH(E57,T_TIPOS,0)),0))))</f>
        <v/>
      </c>
      <c r="K57" s="156">
        <f>IF(E57="","",I57*J57)</f>
        <v/>
      </c>
      <c r="L57" s="280">
        <f>IF(E57="","",I57*IFERROR(INDEX(T_HORAS,MATCH(E57,T_TIPOS,0)),0))</f>
        <v/>
      </c>
      <c r="M57" s="155">
        <f>IF(E57="","",I57*P_FOLHAS_AV)</f>
        <v/>
      </c>
      <c r="N57" s="148" t="n"/>
      <c r="O57" s="158">
        <f>IF(AND(E57="Químico (laboratório)",F57&lt;&gt;"",COUNTIFS($F$12:F57,F57,$E$12:E57,"Químico (laboratório)")=1),MAX($O$11:O56)+1,"")</f>
        <v/>
      </c>
      <c r="P57" s="159">
        <f>IF(E57="","",IF(IFERROR(INDEX(T_PORDIA,MATCH(E57,T_TIPOS,0)),0)&gt;0,I57/INDEX(T_PORDIA,MATCH(E57,T_TIPOS,0)),0))</f>
        <v/>
      </c>
    </row>
    <row r="58">
      <c r="A58" s="155">
        <f>IF(E58="","",ROW()-11)</f>
        <v/>
      </c>
      <c r="B58" s="148" t="n"/>
      <c r="C58" s="148" t="n"/>
      <c r="D58" s="148" t="n"/>
      <c r="E58" s="148" t="n"/>
      <c r="F58" s="148" t="n"/>
      <c r="G58" s="155">
        <f>IF(E58="","",IF(E58="Ruído (dosimetria)",IF(D58&gt;P_DOS_LIM,ROUNDUP(D58*P_DOS_PCT,0),IF(N(D58)&gt;0,1,0)),IF(E58="Ausência de risco",0,IF(OR(D58="",N(D58)&gt;0),1,0))))</f>
        <v/>
      </c>
      <c r="H58" s="148" t="n"/>
      <c r="I58" s="155">
        <f>IF(E58="","",IF(H58&lt;&gt;"",H58,G58))</f>
        <v/>
      </c>
      <c r="J58" s="156">
        <f>IF(E58="","",IF(E58="Químico (laboratório)",IFERROR(INDEX(EX_VALOR,MATCH(F58,EX_NOMES,0)),0),IF(E58="Avaliação qualitativa",IF(SUMIFS($I$12:$I$111,$E$12:$E$111,"Avaliação qualitativa")&gt;1,P_QUAL_VARIAS,P_QUAL_UNICA),IFERROR(INDEX(T_FIXO,MATCH(E58,T_TIPOS,0)),0))))</f>
        <v/>
      </c>
      <c r="K58" s="156">
        <f>IF(E58="","",I58*J58)</f>
        <v/>
      </c>
      <c r="L58" s="280">
        <f>IF(E58="","",I58*IFERROR(INDEX(T_HORAS,MATCH(E58,T_TIPOS,0)),0))</f>
        <v/>
      </c>
      <c r="M58" s="155">
        <f>IF(E58="","",I58*P_FOLHAS_AV)</f>
        <v/>
      </c>
      <c r="N58" s="148" t="n"/>
      <c r="O58" s="158">
        <f>IF(AND(E58="Químico (laboratório)",F58&lt;&gt;"",COUNTIFS($F$12:F58,F58,$E$12:E58,"Químico (laboratório)")=1),MAX($O$11:O57)+1,"")</f>
        <v/>
      </c>
      <c r="P58" s="159">
        <f>IF(E58="","",IF(IFERROR(INDEX(T_PORDIA,MATCH(E58,T_TIPOS,0)),0)&gt;0,I58/INDEX(T_PORDIA,MATCH(E58,T_TIPOS,0)),0))</f>
        <v/>
      </c>
    </row>
    <row r="59">
      <c r="A59" s="155">
        <f>IF(E59="","",ROW()-11)</f>
        <v/>
      </c>
      <c r="B59" s="148" t="n"/>
      <c r="C59" s="148" t="n"/>
      <c r="D59" s="148" t="n"/>
      <c r="E59" s="148" t="n"/>
      <c r="F59" s="148" t="n"/>
      <c r="G59" s="155">
        <f>IF(E59="","",IF(E59="Ruído (dosimetria)",IF(D59&gt;P_DOS_LIM,ROUNDUP(D59*P_DOS_PCT,0),IF(N(D59)&gt;0,1,0)),IF(E59="Ausência de risco",0,IF(OR(D59="",N(D59)&gt;0),1,0))))</f>
        <v/>
      </c>
      <c r="H59" s="148" t="n"/>
      <c r="I59" s="155">
        <f>IF(E59="","",IF(H59&lt;&gt;"",H59,G59))</f>
        <v/>
      </c>
      <c r="J59" s="156">
        <f>IF(E59="","",IF(E59="Químico (laboratório)",IFERROR(INDEX(EX_VALOR,MATCH(F59,EX_NOMES,0)),0),IF(E59="Avaliação qualitativa",IF(SUMIFS($I$12:$I$111,$E$12:$E$111,"Avaliação qualitativa")&gt;1,P_QUAL_VARIAS,P_QUAL_UNICA),IFERROR(INDEX(T_FIXO,MATCH(E59,T_TIPOS,0)),0))))</f>
        <v/>
      </c>
      <c r="K59" s="156">
        <f>IF(E59="","",I59*J59)</f>
        <v/>
      </c>
      <c r="L59" s="280">
        <f>IF(E59="","",I59*IFERROR(INDEX(T_HORAS,MATCH(E59,T_TIPOS,0)),0))</f>
        <v/>
      </c>
      <c r="M59" s="155">
        <f>IF(E59="","",I59*P_FOLHAS_AV)</f>
        <v/>
      </c>
      <c r="N59" s="148" t="n"/>
      <c r="O59" s="158">
        <f>IF(AND(E59="Químico (laboratório)",F59&lt;&gt;"",COUNTIFS($F$12:F59,F59,$E$12:E59,"Químico (laboratório)")=1),MAX($O$11:O58)+1,"")</f>
        <v/>
      </c>
      <c r="P59" s="159">
        <f>IF(E59="","",IF(IFERROR(INDEX(T_PORDIA,MATCH(E59,T_TIPOS,0)),0)&gt;0,I59/INDEX(T_PORDIA,MATCH(E59,T_TIPOS,0)),0))</f>
        <v/>
      </c>
    </row>
    <row r="60">
      <c r="A60" s="155">
        <f>IF(E60="","",ROW()-11)</f>
        <v/>
      </c>
      <c r="B60" s="148" t="n"/>
      <c r="C60" s="148" t="n"/>
      <c r="D60" s="148" t="n"/>
      <c r="E60" s="148" t="n"/>
      <c r="F60" s="148" t="n"/>
      <c r="G60" s="155">
        <f>IF(E60="","",IF(E60="Ruído (dosimetria)",IF(D60&gt;P_DOS_LIM,ROUNDUP(D60*P_DOS_PCT,0),IF(N(D60)&gt;0,1,0)),IF(E60="Ausência de risco",0,IF(OR(D60="",N(D60)&gt;0),1,0))))</f>
        <v/>
      </c>
      <c r="H60" s="148" t="n"/>
      <c r="I60" s="155">
        <f>IF(E60="","",IF(H60&lt;&gt;"",H60,G60))</f>
        <v/>
      </c>
      <c r="J60" s="156">
        <f>IF(E60="","",IF(E60="Químico (laboratório)",IFERROR(INDEX(EX_VALOR,MATCH(F60,EX_NOMES,0)),0),IF(E60="Avaliação qualitativa",IF(SUMIFS($I$12:$I$111,$E$12:$E$111,"Avaliação qualitativa")&gt;1,P_QUAL_VARIAS,P_QUAL_UNICA),IFERROR(INDEX(T_FIXO,MATCH(E60,T_TIPOS,0)),0))))</f>
        <v/>
      </c>
      <c r="K60" s="156">
        <f>IF(E60="","",I60*J60)</f>
        <v/>
      </c>
      <c r="L60" s="280">
        <f>IF(E60="","",I60*IFERROR(INDEX(T_HORAS,MATCH(E60,T_TIPOS,0)),0))</f>
        <v/>
      </c>
      <c r="M60" s="155">
        <f>IF(E60="","",I60*P_FOLHAS_AV)</f>
        <v/>
      </c>
      <c r="N60" s="148" t="n"/>
      <c r="O60" s="158">
        <f>IF(AND(E60="Químico (laboratório)",F60&lt;&gt;"",COUNTIFS($F$12:F60,F60,$E$12:E60,"Químico (laboratório)")=1),MAX($O$11:O59)+1,"")</f>
        <v/>
      </c>
      <c r="P60" s="159">
        <f>IF(E60="","",IF(IFERROR(INDEX(T_PORDIA,MATCH(E60,T_TIPOS,0)),0)&gt;0,I60/INDEX(T_PORDIA,MATCH(E60,T_TIPOS,0)),0))</f>
        <v/>
      </c>
    </row>
    <row r="61">
      <c r="A61" s="155">
        <f>IF(E61="","",ROW()-11)</f>
        <v/>
      </c>
      <c r="B61" s="148" t="n"/>
      <c r="C61" s="148" t="n"/>
      <c r="D61" s="148" t="n"/>
      <c r="E61" s="148" t="n"/>
      <c r="F61" s="148" t="n"/>
      <c r="G61" s="155">
        <f>IF(E61="","",IF(E61="Ruído (dosimetria)",IF(D61&gt;P_DOS_LIM,ROUNDUP(D61*P_DOS_PCT,0),IF(N(D61)&gt;0,1,0)),IF(E61="Ausência de risco",0,IF(OR(D61="",N(D61)&gt;0),1,0))))</f>
        <v/>
      </c>
      <c r="H61" s="148" t="n"/>
      <c r="I61" s="155">
        <f>IF(E61="","",IF(H61&lt;&gt;"",H61,G61))</f>
        <v/>
      </c>
      <c r="J61" s="156">
        <f>IF(E61="","",IF(E61="Químico (laboratório)",IFERROR(INDEX(EX_VALOR,MATCH(F61,EX_NOMES,0)),0),IF(E61="Avaliação qualitativa",IF(SUMIFS($I$12:$I$111,$E$12:$E$111,"Avaliação qualitativa")&gt;1,P_QUAL_VARIAS,P_QUAL_UNICA),IFERROR(INDEX(T_FIXO,MATCH(E61,T_TIPOS,0)),0))))</f>
        <v/>
      </c>
      <c r="K61" s="156">
        <f>IF(E61="","",I61*J61)</f>
        <v/>
      </c>
      <c r="L61" s="280">
        <f>IF(E61="","",I61*IFERROR(INDEX(T_HORAS,MATCH(E61,T_TIPOS,0)),0))</f>
        <v/>
      </c>
      <c r="M61" s="155">
        <f>IF(E61="","",I61*P_FOLHAS_AV)</f>
        <v/>
      </c>
      <c r="N61" s="148" t="n"/>
      <c r="O61" s="158">
        <f>IF(AND(E61="Químico (laboratório)",F61&lt;&gt;"",COUNTIFS($F$12:F61,F61,$E$12:E61,"Químico (laboratório)")=1),MAX($O$11:O60)+1,"")</f>
        <v/>
      </c>
      <c r="P61" s="159">
        <f>IF(E61="","",IF(IFERROR(INDEX(T_PORDIA,MATCH(E61,T_TIPOS,0)),0)&gt;0,I61/INDEX(T_PORDIA,MATCH(E61,T_TIPOS,0)),0))</f>
        <v/>
      </c>
    </row>
    <row r="62">
      <c r="A62" s="155">
        <f>IF(E62="","",ROW()-11)</f>
        <v/>
      </c>
      <c r="B62" s="148" t="n"/>
      <c r="C62" s="148" t="n"/>
      <c r="D62" s="148" t="n"/>
      <c r="E62" s="148" t="n"/>
      <c r="F62" s="148" t="n"/>
      <c r="G62" s="155">
        <f>IF(E62="","",IF(E62="Ruído (dosimetria)",IF(D62&gt;P_DOS_LIM,ROUNDUP(D62*P_DOS_PCT,0),IF(N(D62)&gt;0,1,0)),IF(E62="Ausência de risco",0,IF(OR(D62="",N(D62)&gt;0),1,0))))</f>
        <v/>
      </c>
      <c r="H62" s="148" t="n"/>
      <c r="I62" s="155">
        <f>IF(E62="","",IF(H62&lt;&gt;"",H62,G62))</f>
        <v/>
      </c>
      <c r="J62" s="156">
        <f>IF(E62="","",IF(E62="Químico (laboratório)",IFERROR(INDEX(EX_VALOR,MATCH(F62,EX_NOMES,0)),0),IF(E62="Avaliação qualitativa",IF(SUMIFS($I$12:$I$111,$E$12:$E$111,"Avaliação qualitativa")&gt;1,P_QUAL_VARIAS,P_QUAL_UNICA),IFERROR(INDEX(T_FIXO,MATCH(E62,T_TIPOS,0)),0))))</f>
        <v/>
      </c>
      <c r="K62" s="156">
        <f>IF(E62="","",I62*J62)</f>
        <v/>
      </c>
      <c r="L62" s="280">
        <f>IF(E62="","",I62*IFERROR(INDEX(T_HORAS,MATCH(E62,T_TIPOS,0)),0))</f>
        <v/>
      </c>
      <c r="M62" s="155">
        <f>IF(E62="","",I62*P_FOLHAS_AV)</f>
        <v/>
      </c>
      <c r="N62" s="148" t="n"/>
      <c r="O62" s="158">
        <f>IF(AND(E62="Químico (laboratório)",F62&lt;&gt;"",COUNTIFS($F$12:F62,F62,$E$12:E62,"Químico (laboratório)")=1),MAX($O$11:O61)+1,"")</f>
        <v/>
      </c>
      <c r="P62" s="159">
        <f>IF(E62="","",IF(IFERROR(INDEX(T_PORDIA,MATCH(E62,T_TIPOS,0)),0)&gt;0,I62/INDEX(T_PORDIA,MATCH(E62,T_TIPOS,0)),0))</f>
        <v/>
      </c>
    </row>
    <row r="63">
      <c r="A63" s="155">
        <f>IF(E63="","",ROW()-11)</f>
        <v/>
      </c>
      <c r="B63" s="148" t="n"/>
      <c r="C63" s="148" t="n"/>
      <c r="D63" s="148" t="n"/>
      <c r="E63" s="148" t="n"/>
      <c r="F63" s="148" t="n"/>
      <c r="G63" s="155">
        <f>IF(E63="","",IF(E63="Ruído (dosimetria)",IF(D63&gt;P_DOS_LIM,ROUNDUP(D63*P_DOS_PCT,0),IF(N(D63)&gt;0,1,0)),IF(E63="Ausência de risco",0,IF(OR(D63="",N(D63)&gt;0),1,0))))</f>
        <v/>
      </c>
      <c r="H63" s="148" t="n"/>
      <c r="I63" s="155">
        <f>IF(E63="","",IF(H63&lt;&gt;"",H63,G63))</f>
        <v/>
      </c>
      <c r="J63" s="156">
        <f>IF(E63="","",IF(E63="Químico (laboratório)",IFERROR(INDEX(EX_VALOR,MATCH(F63,EX_NOMES,0)),0),IF(E63="Avaliação qualitativa",IF(SUMIFS($I$12:$I$111,$E$12:$E$111,"Avaliação qualitativa")&gt;1,P_QUAL_VARIAS,P_QUAL_UNICA),IFERROR(INDEX(T_FIXO,MATCH(E63,T_TIPOS,0)),0))))</f>
        <v/>
      </c>
      <c r="K63" s="156">
        <f>IF(E63="","",I63*J63)</f>
        <v/>
      </c>
      <c r="L63" s="280">
        <f>IF(E63="","",I63*IFERROR(INDEX(T_HORAS,MATCH(E63,T_TIPOS,0)),0))</f>
        <v/>
      </c>
      <c r="M63" s="155">
        <f>IF(E63="","",I63*P_FOLHAS_AV)</f>
        <v/>
      </c>
      <c r="N63" s="148" t="n"/>
      <c r="O63" s="158">
        <f>IF(AND(E63="Químico (laboratório)",F63&lt;&gt;"",COUNTIFS($F$12:F63,F63,$E$12:E63,"Químico (laboratório)")=1),MAX($O$11:O62)+1,"")</f>
        <v/>
      </c>
      <c r="P63" s="159">
        <f>IF(E63="","",IF(IFERROR(INDEX(T_PORDIA,MATCH(E63,T_TIPOS,0)),0)&gt;0,I63/INDEX(T_PORDIA,MATCH(E63,T_TIPOS,0)),0))</f>
        <v/>
      </c>
    </row>
    <row r="64">
      <c r="A64" s="155">
        <f>IF(E64="","",ROW()-11)</f>
        <v/>
      </c>
      <c r="B64" s="148" t="n"/>
      <c r="C64" s="148" t="n"/>
      <c r="D64" s="148" t="n"/>
      <c r="E64" s="148" t="n"/>
      <c r="F64" s="148" t="n"/>
      <c r="G64" s="155">
        <f>IF(E64="","",IF(E64="Ruído (dosimetria)",IF(D64&gt;P_DOS_LIM,ROUNDUP(D64*P_DOS_PCT,0),IF(N(D64)&gt;0,1,0)),IF(E64="Ausência de risco",0,IF(OR(D64="",N(D64)&gt;0),1,0))))</f>
        <v/>
      </c>
      <c r="H64" s="148" t="n"/>
      <c r="I64" s="155">
        <f>IF(E64="","",IF(H64&lt;&gt;"",H64,G64))</f>
        <v/>
      </c>
      <c r="J64" s="156">
        <f>IF(E64="","",IF(E64="Químico (laboratório)",IFERROR(INDEX(EX_VALOR,MATCH(F64,EX_NOMES,0)),0),IF(E64="Avaliação qualitativa",IF(SUMIFS($I$12:$I$111,$E$12:$E$111,"Avaliação qualitativa")&gt;1,P_QUAL_VARIAS,P_QUAL_UNICA),IFERROR(INDEX(T_FIXO,MATCH(E64,T_TIPOS,0)),0))))</f>
        <v/>
      </c>
      <c r="K64" s="156">
        <f>IF(E64="","",I64*J64)</f>
        <v/>
      </c>
      <c r="L64" s="280">
        <f>IF(E64="","",I64*IFERROR(INDEX(T_HORAS,MATCH(E64,T_TIPOS,0)),0))</f>
        <v/>
      </c>
      <c r="M64" s="155">
        <f>IF(E64="","",I64*P_FOLHAS_AV)</f>
        <v/>
      </c>
      <c r="N64" s="148" t="n"/>
      <c r="O64" s="158">
        <f>IF(AND(E64="Químico (laboratório)",F64&lt;&gt;"",COUNTIFS($F$12:F64,F64,$E$12:E64,"Químico (laboratório)")=1),MAX($O$11:O63)+1,"")</f>
        <v/>
      </c>
      <c r="P64" s="159">
        <f>IF(E64="","",IF(IFERROR(INDEX(T_PORDIA,MATCH(E64,T_TIPOS,0)),0)&gt;0,I64/INDEX(T_PORDIA,MATCH(E64,T_TIPOS,0)),0))</f>
        <v/>
      </c>
    </row>
    <row r="65">
      <c r="A65" s="155">
        <f>IF(E65="","",ROW()-11)</f>
        <v/>
      </c>
      <c r="B65" s="148" t="n"/>
      <c r="C65" s="148" t="n"/>
      <c r="D65" s="148" t="n"/>
      <c r="E65" s="148" t="n"/>
      <c r="F65" s="148" t="n"/>
      <c r="G65" s="155">
        <f>IF(E65="","",IF(E65="Ruído (dosimetria)",IF(D65&gt;P_DOS_LIM,ROUNDUP(D65*P_DOS_PCT,0),IF(N(D65)&gt;0,1,0)),IF(E65="Ausência de risco",0,IF(OR(D65="",N(D65)&gt;0),1,0))))</f>
        <v/>
      </c>
      <c r="H65" s="148" t="n"/>
      <c r="I65" s="155">
        <f>IF(E65="","",IF(H65&lt;&gt;"",H65,G65))</f>
        <v/>
      </c>
      <c r="J65" s="156">
        <f>IF(E65="","",IF(E65="Químico (laboratório)",IFERROR(INDEX(EX_VALOR,MATCH(F65,EX_NOMES,0)),0),IF(E65="Avaliação qualitativa",IF(SUMIFS($I$12:$I$111,$E$12:$E$111,"Avaliação qualitativa")&gt;1,P_QUAL_VARIAS,P_QUAL_UNICA),IFERROR(INDEX(T_FIXO,MATCH(E65,T_TIPOS,0)),0))))</f>
        <v/>
      </c>
      <c r="K65" s="156">
        <f>IF(E65="","",I65*J65)</f>
        <v/>
      </c>
      <c r="L65" s="280">
        <f>IF(E65="","",I65*IFERROR(INDEX(T_HORAS,MATCH(E65,T_TIPOS,0)),0))</f>
        <v/>
      </c>
      <c r="M65" s="155">
        <f>IF(E65="","",I65*P_FOLHAS_AV)</f>
        <v/>
      </c>
      <c r="N65" s="148" t="n"/>
      <c r="O65" s="158">
        <f>IF(AND(E65="Químico (laboratório)",F65&lt;&gt;"",COUNTIFS($F$12:F65,F65,$E$12:E65,"Químico (laboratório)")=1),MAX($O$11:O64)+1,"")</f>
        <v/>
      </c>
      <c r="P65" s="159">
        <f>IF(E65="","",IF(IFERROR(INDEX(T_PORDIA,MATCH(E65,T_TIPOS,0)),0)&gt;0,I65/INDEX(T_PORDIA,MATCH(E65,T_TIPOS,0)),0))</f>
        <v/>
      </c>
    </row>
    <row r="66">
      <c r="A66" s="155">
        <f>IF(E66="","",ROW()-11)</f>
        <v/>
      </c>
      <c r="B66" s="148" t="n"/>
      <c r="C66" s="148" t="n"/>
      <c r="D66" s="148" t="n"/>
      <c r="E66" s="148" t="n"/>
      <c r="F66" s="148" t="n"/>
      <c r="G66" s="155">
        <f>IF(E66="","",IF(E66="Ruído (dosimetria)",IF(D66&gt;P_DOS_LIM,ROUNDUP(D66*P_DOS_PCT,0),IF(N(D66)&gt;0,1,0)),IF(E66="Ausência de risco",0,IF(OR(D66="",N(D66)&gt;0),1,0))))</f>
        <v/>
      </c>
      <c r="H66" s="148" t="n"/>
      <c r="I66" s="155">
        <f>IF(E66="","",IF(H66&lt;&gt;"",H66,G66))</f>
        <v/>
      </c>
      <c r="J66" s="156">
        <f>IF(E66="","",IF(E66="Químico (laboratório)",IFERROR(INDEX(EX_VALOR,MATCH(F66,EX_NOMES,0)),0),IF(E66="Avaliação qualitativa",IF(SUMIFS($I$12:$I$111,$E$12:$E$111,"Avaliação qualitativa")&gt;1,P_QUAL_VARIAS,P_QUAL_UNICA),IFERROR(INDEX(T_FIXO,MATCH(E66,T_TIPOS,0)),0))))</f>
        <v/>
      </c>
      <c r="K66" s="156">
        <f>IF(E66="","",I66*J66)</f>
        <v/>
      </c>
      <c r="L66" s="280">
        <f>IF(E66="","",I66*IFERROR(INDEX(T_HORAS,MATCH(E66,T_TIPOS,0)),0))</f>
        <v/>
      </c>
      <c r="M66" s="155">
        <f>IF(E66="","",I66*P_FOLHAS_AV)</f>
        <v/>
      </c>
      <c r="N66" s="148" t="n"/>
      <c r="O66" s="158">
        <f>IF(AND(E66="Químico (laboratório)",F66&lt;&gt;"",COUNTIFS($F$12:F66,F66,$E$12:E66,"Químico (laboratório)")=1),MAX($O$11:O65)+1,"")</f>
        <v/>
      </c>
      <c r="P66" s="159">
        <f>IF(E66="","",IF(IFERROR(INDEX(T_PORDIA,MATCH(E66,T_TIPOS,0)),0)&gt;0,I66/INDEX(T_PORDIA,MATCH(E66,T_TIPOS,0)),0))</f>
        <v/>
      </c>
    </row>
    <row r="67">
      <c r="A67" s="155">
        <f>IF(E67="","",ROW()-11)</f>
        <v/>
      </c>
      <c r="B67" s="148" t="n"/>
      <c r="C67" s="148" t="n"/>
      <c r="D67" s="148" t="n"/>
      <c r="E67" s="148" t="n"/>
      <c r="F67" s="148" t="n"/>
      <c r="G67" s="155">
        <f>IF(E67="","",IF(E67="Ruído (dosimetria)",IF(D67&gt;P_DOS_LIM,ROUNDUP(D67*P_DOS_PCT,0),IF(N(D67)&gt;0,1,0)),IF(E67="Ausência de risco",0,IF(OR(D67="",N(D67)&gt;0),1,0))))</f>
        <v/>
      </c>
      <c r="H67" s="148" t="n"/>
      <c r="I67" s="155">
        <f>IF(E67="","",IF(H67&lt;&gt;"",H67,G67))</f>
        <v/>
      </c>
      <c r="J67" s="156">
        <f>IF(E67="","",IF(E67="Químico (laboratório)",IFERROR(INDEX(EX_VALOR,MATCH(F67,EX_NOMES,0)),0),IF(E67="Avaliação qualitativa",IF(SUMIFS($I$12:$I$111,$E$12:$E$111,"Avaliação qualitativa")&gt;1,P_QUAL_VARIAS,P_QUAL_UNICA),IFERROR(INDEX(T_FIXO,MATCH(E67,T_TIPOS,0)),0))))</f>
        <v/>
      </c>
      <c r="K67" s="156">
        <f>IF(E67="","",I67*J67)</f>
        <v/>
      </c>
      <c r="L67" s="280">
        <f>IF(E67="","",I67*IFERROR(INDEX(T_HORAS,MATCH(E67,T_TIPOS,0)),0))</f>
        <v/>
      </c>
      <c r="M67" s="155">
        <f>IF(E67="","",I67*P_FOLHAS_AV)</f>
        <v/>
      </c>
      <c r="N67" s="148" t="n"/>
      <c r="O67" s="158">
        <f>IF(AND(E67="Químico (laboratório)",F67&lt;&gt;"",COUNTIFS($F$12:F67,F67,$E$12:E67,"Químico (laboratório)")=1),MAX($O$11:O66)+1,"")</f>
        <v/>
      </c>
      <c r="P67" s="159">
        <f>IF(E67="","",IF(IFERROR(INDEX(T_PORDIA,MATCH(E67,T_TIPOS,0)),0)&gt;0,I67/INDEX(T_PORDIA,MATCH(E67,T_TIPOS,0)),0))</f>
        <v/>
      </c>
    </row>
    <row r="68">
      <c r="A68" s="155">
        <f>IF(E68="","",ROW()-11)</f>
        <v/>
      </c>
      <c r="B68" s="148" t="n"/>
      <c r="C68" s="148" t="n"/>
      <c r="D68" s="148" t="n"/>
      <c r="E68" s="148" t="n"/>
      <c r="F68" s="148" t="n"/>
      <c r="G68" s="155">
        <f>IF(E68="","",IF(E68="Ruído (dosimetria)",IF(D68&gt;P_DOS_LIM,ROUNDUP(D68*P_DOS_PCT,0),IF(N(D68)&gt;0,1,0)),IF(E68="Ausência de risco",0,IF(OR(D68="",N(D68)&gt;0),1,0))))</f>
        <v/>
      </c>
      <c r="H68" s="148" t="n"/>
      <c r="I68" s="155">
        <f>IF(E68="","",IF(H68&lt;&gt;"",H68,G68))</f>
        <v/>
      </c>
      <c r="J68" s="156">
        <f>IF(E68="","",IF(E68="Químico (laboratório)",IFERROR(INDEX(EX_VALOR,MATCH(F68,EX_NOMES,0)),0),IF(E68="Avaliação qualitativa",IF(SUMIFS($I$12:$I$111,$E$12:$E$111,"Avaliação qualitativa")&gt;1,P_QUAL_VARIAS,P_QUAL_UNICA),IFERROR(INDEX(T_FIXO,MATCH(E68,T_TIPOS,0)),0))))</f>
        <v/>
      </c>
      <c r="K68" s="156">
        <f>IF(E68="","",I68*J68)</f>
        <v/>
      </c>
      <c r="L68" s="280">
        <f>IF(E68="","",I68*IFERROR(INDEX(T_HORAS,MATCH(E68,T_TIPOS,0)),0))</f>
        <v/>
      </c>
      <c r="M68" s="155">
        <f>IF(E68="","",I68*P_FOLHAS_AV)</f>
        <v/>
      </c>
      <c r="N68" s="148" t="n"/>
      <c r="O68" s="158">
        <f>IF(AND(E68="Químico (laboratório)",F68&lt;&gt;"",COUNTIFS($F$12:F68,F68,$E$12:E68,"Químico (laboratório)")=1),MAX($O$11:O67)+1,"")</f>
        <v/>
      </c>
      <c r="P68" s="159">
        <f>IF(E68="","",IF(IFERROR(INDEX(T_PORDIA,MATCH(E68,T_TIPOS,0)),0)&gt;0,I68/INDEX(T_PORDIA,MATCH(E68,T_TIPOS,0)),0))</f>
        <v/>
      </c>
    </row>
    <row r="69">
      <c r="A69" s="155">
        <f>IF(E69="","",ROW()-11)</f>
        <v/>
      </c>
      <c r="B69" s="148" t="n"/>
      <c r="C69" s="148" t="n"/>
      <c r="D69" s="148" t="n"/>
      <c r="E69" s="148" t="n"/>
      <c r="F69" s="148" t="n"/>
      <c r="G69" s="155">
        <f>IF(E69="","",IF(E69="Ruído (dosimetria)",IF(D69&gt;P_DOS_LIM,ROUNDUP(D69*P_DOS_PCT,0),IF(N(D69)&gt;0,1,0)),IF(E69="Ausência de risco",0,IF(OR(D69="",N(D69)&gt;0),1,0))))</f>
        <v/>
      </c>
      <c r="H69" s="148" t="n"/>
      <c r="I69" s="155">
        <f>IF(E69="","",IF(H69&lt;&gt;"",H69,G69))</f>
        <v/>
      </c>
      <c r="J69" s="156">
        <f>IF(E69="","",IF(E69="Químico (laboratório)",IFERROR(INDEX(EX_VALOR,MATCH(F69,EX_NOMES,0)),0),IF(E69="Avaliação qualitativa",IF(SUMIFS($I$12:$I$111,$E$12:$E$111,"Avaliação qualitativa")&gt;1,P_QUAL_VARIAS,P_QUAL_UNICA),IFERROR(INDEX(T_FIXO,MATCH(E69,T_TIPOS,0)),0))))</f>
        <v/>
      </c>
      <c r="K69" s="156">
        <f>IF(E69="","",I69*J69)</f>
        <v/>
      </c>
      <c r="L69" s="280">
        <f>IF(E69="","",I69*IFERROR(INDEX(T_HORAS,MATCH(E69,T_TIPOS,0)),0))</f>
        <v/>
      </c>
      <c r="M69" s="155">
        <f>IF(E69="","",I69*P_FOLHAS_AV)</f>
        <v/>
      </c>
      <c r="N69" s="148" t="n"/>
      <c r="O69" s="158">
        <f>IF(AND(E69="Químico (laboratório)",F69&lt;&gt;"",COUNTIFS($F$12:F69,F69,$E$12:E69,"Químico (laboratório)")=1),MAX($O$11:O68)+1,"")</f>
        <v/>
      </c>
      <c r="P69" s="159">
        <f>IF(E69="","",IF(IFERROR(INDEX(T_PORDIA,MATCH(E69,T_TIPOS,0)),0)&gt;0,I69/INDEX(T_PORDIA,MATCH(E69,T_TIPOS,0)),0))</f>
        <v/>
      </c>
    </row>
    <row r="70">
      <c r="A70" s="155">
        <f>IF(E70="","",ROW()-11)</f>
        <v/>
      </c>
      <c r="B70" s="148" t="n"/>
      <c r="C70" s="148" t="n"/>
      <c r="D70" s="148" t="n"/>
      <c r="E70" s="148" t="n"/>
      <c r="F70" s="148" t="n"/>
      <c r="G70" s="155">
        <f>IF(E70="","",IF(E70="Ruído (dosimetria)",IF(D70&gt;P_DOS_LIM,ROUNDUP(D70*P_DOS_PCT,0),IF(N(D70)&gt;0,1,0)),IF(E70="Ausência de risco",0,IF(OR(D70="",N(D70)&gt;0),1,0))))</f>
        <v/>
      </c>
      <c r="H70" s="148" t="n"/>
      <c r="I70" s="155">
        <f>IF(E70="","",IF(H70&lt;&gt;"",H70,G70))</f>
        <v/>
      </c>
      <c r="J70" s="156">
        <f>IF(E70="","",IF(E70="Químico (laboratório)",IFERROR(INDEX(EX_VALOR,MATCH(F70,EX_NOMES,0)),0),IF(E70="Avaliação qualitativa",IF(SUMIFS($I$12:$I$111,$E$12:$E$111,"Avaliação qualitativa")&gt;1,P_QUAL_VARIAS,P_QUAL_UNICA),IFERROR(INDEX(T_FIXO,MATCH(E70,T_TIPOS,0)),0))))</f>
        <v/>
      </c>
      <c r="K70" s="156">
        <f>IF(E70="","",I70*J70)</f>
        <v/>
      </c>
      <c r="L70" s="280">
        <f>IF(E70="","",I70*IFERROR(INDEX(T_HORAS,MATCH(E70,T_TIPOS,0)),0))</f>
        <v/>
      </c>
      <c r="M70" s="155">
        <f>IF(E70="","",I70*P_FOLHAS_AV)</f>
        <v/>
      </c>
      <c r="N70" s="148" t="n"/>
      <c r="O70" s="158">
        <f>IF(AND(E70="Químico (laboratório)",F70&lt;&gt;"",COUNTIFS($F$12:F70,F70,$E$12:E70,"Químico (laboratório)")=1),MAX($O$11:O69)+1,"")</f>
        <v/>
      </c>
      <c r="P70" s="159">
        <f>IF(E70="","",IF(IFERROR(INDEX(T_PORDIA,MATCH(E70,T_TIPOS,0)),0)&gt;0,I70/INDEX(T_PORDIA,MATCH(E70,T_TIPOS,0)),0))</f>
        <v/>
      </c>
    </row>
    <row r="71">
      <c r="A71" s="155">
        <f>IF(E71="","",ROW()-11)</f>
        <v/>
      </c>
      <c r="B71" s="148" t="n"/>
      <c r="C71" s="148" t="n"/>
      <c r="D71" s="148" t="n"/>
      <c r="E71" s="148" t="n"/>
      <c r="F71" s="148" t="n"/>
      <c r="G71" s="155">
        <f>IF(E71="","",IF(E71="Ruído (dosimetria)",IF(D71&gt;P_DOS_LIM,ROUNDUP(D71*P_DOS_PCT,0),IF(N(D71)&gt;0,1,0)),IF(E71="Ausência de risco",0,IF(OR(D71="",N(D71)&gt;0),1,0))))</f>
        <v/>
      </c>
      <c r="H71" s="148" t="n"/>
      <c r="I71" s="155">
        <f>IF(E71="","",IF(H71&lt;&gt;"",H71,G71))</f>
        <v/>
      </c>
      <c r="J71" s="156">
        <f>IF(E71="","",IF(E71="Químico (laboratório)",IFERROR(INDEX(EX_VALOR,MATCH(F71,EX_NOMES,0)),0),IF(E71="Avaliação qualitativa",IF(SUMIFS($I$12:$I$111,$E$12:$E$111,"Avaliação qualitativa")&gt;1,P_QUAL_VARIAS,P_QUAL_UNICA),IFERROR(INDEX(T_FIXO,MATCH(E71,T_TIPOS,0)),0))))</f>
        <v/>
      </c>
      <c r="K71" s="156">
        <f>IF(E71="","",I71*J71)</f>
        <v/>
      </c>
      <c r="L71" s="280">
        <f>IF(E71="","",I71*IFERROR(INDEX(T_HORAS,MATCH(E71,T_TIPOS,0)),0))</f>
        <v/>
      </c>
      <c r="M71" s="155">
        <f>IF(E71="","",I71*P_FOLHAS_AV)</f>
        <v/>
      </c>
      <c r="N71" s="148" t="n"/>
      <c r="O71" s="158">
        <f>IF(AND(E71="Químico (laboratório)",F71&lt;&gt;"",COUNTIFS($F$12:F71,F71,$E$12:E71,"Químico (laboratório)")=1),MAX($O$11:O70)+1,"")</f>
        <v/>
      </c>
      <c r="P71" s="159">
        <f>IF(E71="","",IF(IFERROR(INDEX(T_PORDIA,MATCH(E71,T_TIPOS,0)),0)&gt;0,I71/INDEX(T_PORDIA,MATCH(E71,T_TIPOS,0)),0))</f>
        <v/>
      </c>
    </row>
    <row r="72">
      <c r="A72" s="155">
        <f>IF(E72="","",ROW()-11)</f>
        <v/>
      </c>
      <c r="B72" s="148" t="n"/>
      <c r="C72" s="148" t="n"/>
      <c r="D72" s="148" t="n"/>
      <c r="E72" s="148" t="n"/>
      <c r="F72" s="148" t="n"/>
      <c r="G72" s="155">
        <f>IF(E72="","",IF(E72="Ruído (dosimetria)",IF(D72&gt;P_DOS_LIM,ROUNDUP(D72*P_DOS_PCT,0),IF(N(D72)&gt;0,1,0)),IF(E72="Ausência de risco",0,IF(OR(D72="",N(D72)&gt;0),1,0))))</f>
        <v/>
      </c>
      <c r="H72" s="148" t="n"/>
      <c r="I72" s="155">
        <f>IF(E72="","",IF(H72&lt;&gt;"",H72,G72))</f>
        <v/>
      </c>
      <c r="J72" s="156">
        <f>IF(E72="","",IF(E72="Químico (laboratório)",IFERROR(INDEX(EX_VALOR,MATCH(F72,EX_NOMES,0)),0),IF(E72="Avaliação qualitativa",IF(SUMIFS($I$12:$I$111,$E$12:$E$111,"Avaliação qualitativa")&gt;1,P_QUAL_VARIAS,P_QUAL_UNICA),IFERROR(INDEX(T_FIXO,MATCH(E72,T_TIPOS,0)),0))))</f>
        <v/>
      </c>
      <c r="K72" s="156">
        <f>IF(E72="","",I72*J72)</f>
        <v/>
      </c>
      <c r="L72" s="280">
        <f>IF(E72="","",I72*IFERROR(INDEX(T_HORAS,MATCH(E72,T_TIPOS,0)),0))</f>
        <v/>
      </c>
      <c r="M72" s="155">
        <f>IF(E72="","",I72*P_FOLHAS_AV)</f>
        <v/>
      </c>
      <c r="N72" s="148" t="n"/>
      <c r="O72" s="158">
        <f>IF(AND(E72="Químico (laboratório)",F72&lt;&gt;"",COUNTIFS($F$12:F72,F72,$E$12:E72,"Químico (laboratório)")=1),MAX($O$11:O71)+1,"")</f>
        <v/>
      </c>
      <c r="P72" s="159">
        <f>IF(E72="","",IF(IFERROR(INDEX(T_PORDIA,MATCH(E72,T_TIPOS,0)),0)&gt;0,I72/INDEX(T_PORDIA,MATCH(E72,T_TIPOS,0)),0))</f>
        <v/>
      </c>
    </row>
    <row r="73">
      <c r="A73" s="155">
        <f>IF(E73="","",ROW()-11)</f>
        <v/>
      </c>
      <c r="B73" s="148" t="n"/>
      <c r="C73" s="148" t="n"/>
      <c r="D73" s="148" t="n"/>
      <c r="E73" s="148" t="n"/>
      <c r="F73" s="148" t="n"/>
      <c r="G73" s="155">
        <f>IF(E73="","",IF(E73="Ruído (dosimetria)",IF(D73&gt;P_DOS_LIM,ROUNDUP(D73*P_DOS_PCT,0),IF(N(D73)&gt;0,1,0)),IF(E73="Ausência de risco",0,IF(OR(D73="",N(D73)&gt;0),1,0))))</f>
        <v/>
      </c>
      <c r="H73" s="148" t="n"/>
      <c r="I73" s="155">
        <f>IF(E73="","",IF(H73&lt;&gt;"",H73,G73))</f>
        <v/>
      </c>
      <c r="J73" s="156">
        <f>IF(E73="","",IF(E73="Químico (laboratório)",IFERROR(INDEX(EX_VALOR,MATCH(F73,EX_NOMES,0)),0),IF(E73="Avaliação qualitativa",IF(SUMIFS($I$12:$I$111,$E$12:$E$111,"Avaliação qualitativa")&gt;1,P_QUAL_VARIAS,P_QUAL_UNICA),IFERROR(INDEX(T_FIXO,MATCH(E73,T_TIPOS,0)),0))))</f>
        <v/>
      </c>
      <c r="K73" s="156">
        <f>IF(E73="","",I73*J73)</f>
        <v/>
      </c>
      <c r="L73" s="280">
        <f>IF(E73="","",I73*IFERROR(INDEX(T_HORAS,MATCH(E73,T_TIPOS,0)),0))</f>
        <v/>
      </c>
      <c r="M73" s="155">
        <f>IF(E73="","",I73*P_FOLHAS_AV)</f>
        <v/>
      </c>
      <c r="N73" s="148" t="n"/>
      <c r="O73" s="158">
        <f>IF(AND(E73="Químico (laboratório)",F73&lt;&gt;"",COUNTIFS($F$12:F73,F73,$E$12:E73,"Químico (laboratório)")=1),MAX($O$11:O72)+1,"")</f>
        <v/>
      </c>
      <c r="P73" s="159">
        <f>IF(E73="","",IF(IFERROR(INDEX(T_PORDIA,MATCH(E73,T_TIPOS,0)),0)&gt;0,I73/INDEX(T_PORDIA,MATCH(E73,T_TIPOS,0)),0))</f>
        <v/>
      </c>
    </row>
    <row r="74">
      <c r="A74" s="155">
        <f>IF(E74="","",ROW()-11)</f>
        <v/>
      </c>
      <c r="B74" s="148" t="n"/>
      <c r="C74" s="148" t="n"/>
      <c r="D74" s="148" t="n"/>
      <c r="E74" s="148" t="n"/>
      <c r="F74" s="148" t="n"/>
      <c r="G74" s="155">
        <f>IF(E74="","",IF(E74="Ruído (dosimetria)",IF(D74&gt;P_DOS_LIM,ROUNDUP(D74*P_DOS_PCT,0),IF(N(D74)&gt;0,1,0)),IF(E74="Ausência de risco",0,IF(OR(D74="",N(D74)&gt;0),1,0))))</f>
        <v/>
      </c>
      <c r="H74" s="148" t="n"/>
      <c r="I74" s="155">
        <f>IF(E74="","",IF(H74&lt;&gt;"",H74,G74))</f>
        <v/>
      </c>
      <c r="J74" s="156">
        <f>IF(E74="","",IF(E74="Químico (laboratório)",IFERROR(INDEX(EX_VALOR,MATCH(F74,EX_NOMES,0)),0),IF(E74="Avaliação qualitativa",IF(SUMIFS($I$12:$I$111,$E$12:$E$111,"Avaliação qualitativa")&gt;1,P_QUAL_VARIAS,P_QUAL_UNICA),IFERROR(INDEX(T_FIXO,MATCH(E74,T_TIPOS,0)),0))))</f>
        <v/>
      </c>
      <c r="K74" s="156">
        <f>IF(E74="","",I74*J74)</f>
        <v/>
      </c>
      <c r="L74" s="280">
        <f>IF(E74="","",I74*IFERROR(INDEX(T_HORAS,MATCH(E74,T_TIPOS,0)),0))</f>
        <v/>
      </c>
      <c r="M74" s="155">
        <f>IF(E74="","",I74*P_FOLHAS_AV)</f>
        <v/>
      </c>
      <c r="N74" s="148" t="n"/>
      <c r="O74" s="158">
        <f>IF(AND(E74="Químico (laboratório)",F74&lt;&gt;"",COUNTIFS($F$12:F74,F74,$E$12:E74,"Químico (laboratório)")=1),MAX($O$11:O73)+1,"")</f>
        <v/>
      </c>
      <c r="P74" s="159">
        <f>IF(E74="","",IF(IFERROR(INDEX(T_PORDIA,MATCH(E74,T_TIPOS,0)),0)&gt;0,I74/INDEX(T_PORDIA,MATCH(E74,T_TIPOS,0)),0))</f>
        <v/>
      </c>
    </row>
    <row r="75">
      <c r="A75" s="155">
        <f>IF(E75="","",ROW()-11)</f>
        <v/>
      </c>
      <c r="B75" s="148" t="n"/>
      <c r="C75" s="148" t="n"/>
      <c r="D75" s="148" t="n"/>
      <c r="E75" s="148" t="n"/>
      <c r="F75" s="148" t="n"/>
      <c r="G75" s="155">
        <f>IF(E75="","",IF(E75="Ruído (dosimetria)",IF(D75&gt;P_DOS_LIM,ROUNDUP(D75*P_DOS_PCT,0),IF(N(D75)&gt;0,1,0)),IF(E75="Ausência de risco",0,IF(OR(D75="",N(D75)&gt;0),1,0))))</f>
        <v/>
      </c>
      <c r="H75" s="148" t="n"/>
      <c r="I75" s="155">
        <f>IF(E75="","",IF(H75&lt;&gt;"",H75,G75))</f>
        <v/>
      </c>
      <c r="J75" s="156">
        <f>IF(E75="","",IF(E75="Químico (laboratório)",IFERROR(INDEX(EX_VALOR,MATCH(F75,EX_NOMES,0)),0),IF(E75="Avaliação qualitativa",IF(SUMIFS($I$12:$I$111,$E$12:$E$111,"Avaliação qualitativa")&gt;1,P_QUAL_VARIAS,P_QUAL_UNICA),IFERROR(INDEX(T_FIXO,MATCH(E75,T_TIPOS,0)),0))))</f>
        <v/>
      </c>
      <c r="K75" s="156">
        <f>IF(E75="","",I75*J75)</f>
        <v/>
      </c>
      <c r="L75" s="280">
        <f>IF(E75="","",I75*IFERROR(INDEX(T_HORAS,MATCH(E75,T_TIPOS,0)),0))</f>
        <v/>
      </c>
      <c r="M75" s="155">
        <f>IF(E75="","",I75*P_FOLHAS_AV)</f>
        <v/>
      </c>
      <c r="N75" s="148" t="n"/>
      <c r="O75" s="158">
        <f>IF(AND(E75="Químico (laboratório)",F75&lt;&gt;"",COUNTIFS($F$12:F75,F75,$E$12:E75,"Químico (laboratório)")=1),MAX($O$11:O74)+1,"")</f>
        <v/>
      </c>
      <c r="P75" s="159">
        <f>IF(E75="","",IF(IFERROR(INDEX(T_PORDIA,MATCH(E75,T_TIPOS,0)),0)&gt;0,I75/INDEX(T_PORDIA,MATCH(E75,T_TIPOS,0)),0))</f>
        <v/>
      </c>
    </row>
    <row r="76">
      <c r="A76" s="155">
        <f>IF(E76="","",ROW()-11)</f>
        <v/>
      </c>
      <c r="B76" s="148" t="n"/>
      <c r="C76" s="148" t="n"/>
      <c r="D76" s="148" t="n"/>
      <c r="E76" s="148" t="n"/>
      <c r="F76" s="148" t="n"/>
      <c r="G76" s="155">
        <f>IF(E76="","",IF(E76="Ruído (dosimetria)",IF(D76&gt;P_DOS_LIM,ROUNDUP(D76*P_DOS_PCT,0),IF(N(D76)&gt;0,1,0)),IF(E76="Ausência de risco",0,IF(OR(D76="",N(D76)&gt;0),1,0))))</f>
        <v/>
      </c>
      <c r="H76" s="148" t="n"/>
      <c r="I76" s="155">
        <f>IF(E76="","",IF(H76&lt;&gt;"",H76,G76))</f>
        <v/>
      </c>
      <c r="J76" s="156">
        <f>IF(E76="","",IF(E76="Químico (laboratório)",IFERROR(INDEX(EX_VALOR,MATCH(F76,EX_NOMES,0)),0),IF(E76="Avaliação qualitativa",IF(SUMIFS($I$12:$I$111,$E$12:$E$111,"Avaliação qualitativa")&gt;1,P_QUAL_VARIAS,P_QUAL_UNICA),IFERROR(INDEX(T_FIXO,MATCH(E76,T_TIPOS,0)),0))))</f>
        <v/>
      </c>
      <c r="K76" s="156">
        <f>IF(E76="","",I76*J76)</f>
        <v/>
      </c>
      <c r="L76" s="280">
        <f>IF(E76="","",I76*IFERROR(INDEX(T_HORAS,MATCH(E76,T_TIPOS,0)),0))</f>
        <v/>
      </c>
      <c r="M76" s="155">
        <f>IF(E76="","",I76*P_FOLHAS_AV)</f>
        <v/>
      </c>
      <c r="N76" s="148" t="n"/>
      <c r="O76" s="158">
        <f>IF(AND(E76="Químico (laboratório)",F76&lt;&gt;"",COUNTIFS($F$12:F76,F76,$E$12:E76,"Químico (laboratório)")=1),MAX($O$11:O75)+1,"")</f>
        <v/>
      </c>
      <c r="P76" s="159">
        <f>IF(E76="","",IF(IFERROR(INDEX(T_PORDIA,MATCH(E76,T_TIPOS,0)),0)&gt;0,I76/INDEX(T_PORDIA,MATCH(E76,T_TIPOS,0)),0))</f>
        <v/>
      </c>
    </row>
    <row r="77">
      <c r="A77" s="155">
        <f>IF(E77="","",ROW()-11)</f>
        <v/>
      </c>
      <c r="B77" s="148" t="n"/>
      <c r="C77" s="148" t="n"/>
      <c r="D77" s="148" t="n"/>
      <c r="E77" s="148" t="n"/>
      <c r="F77" s="148" t="n"/>
      <c r="G77" s="155">
        <f>IF(E77="","",IF(E77="Ruído (dosimetria)",IF(D77&gt;P_DOS_LIM,ROUNDUP(D77*P_DOS_PCT,0),IF(N(D77)&gt;0,1,0)),IF(E77="Ausência de risco",0,IF(OR(D77="",N(D77)&gt;0),1,0))))</f>
        <v/>
      </c>
      <c r="H77" s="148" t="n"/>
      <c r="I77" s="155">
        <f>IF(E77="","",IF(H77&lt;&gt;"",H77,G77))</f>
        <v/>
      </c>
      <c r="J77" s="156">
        <f>IF(E77="","",IF(E77="Químico (laboratório)",IFERROR(INDEX(EX_VALOR,MATCH(F77,EX_NOMES,0)),0),IF(E77="Avaliação qualitativa",IF(SUMIFS($I$12:$I$111,$E$12:$E$111,"Avaliação qualitativa")&gt;1,P_QUAL_VARIAS,P_QUAL_UNICA),IFERROR(INDEX(T_FIXO,MATCH(E77,T_TIPOS,0)),0))))</f>
        <v/>
      </c>
      <c r="K77" s="156">
        <f>IF(E77="","",I77*J77)</f>
        <v/>
      </c>
      <c r="L77" s="280">
        <f>IF(E77="","",I77*IFERROR(INDEX(T_HORAS,MATCH(E77,T_TIPOS,0)),0))</f>
        <v/>
      </c>
      <c r="M77" s="155">
        <f>IF(E77="","",I77*P_FOLHAS_AV)</f>
        <v/>
      </c>
      <c r="N77" s="148" t="n"/>
      <c r="O77" s="158">
        <f>IF(AND(E77="Químico (laboratório)",F77&lt;&gt;"",COUNTIFS($F$12:F77,F77,$E$12:E77,"Químico (laboratório)")=1),MAX($O$11:O76)+1,"")</f>
        <v/>
      </c>
      <c r="P77" s="159">
        <f>IF(E77="","",IF(IFERROR(INDEX(T_PORDIA,MATCH(E77,T_TIPOS,0)),0)&gt;0,I77/INDEX(T_PORDIA,MATCH(E77,T_TIPOS,0)),0))</f>
        <v/>
      </c>
    </row>
    <row r="78">
      <c r="A78" s="155">
        <f>IF(E78="","",ROW()-11)</f>
        <v/>
      </c>
      <c r="B78" s="148" t="n"/>
      <c r="C78" s="148" t="n"/>
      <c r="D78" s="148" t="n"/>
      <c r="E78" s="148" t="n"/>
      <c r="F78" s="148" t="n"/>
      <c r="G78" s="155">
        <f>IF(E78="","",IF(E78="Ruído (dosimetria)",IF(D78&gt;P_DOS_LIM,ROUNDUP(D78*P_DOS_PCT,0),IF(N(D78)&gt;0,1,0)),IF(E78="Ausência de risco",0,IF(OR(D78="",N(D78)&gt;0),1,0))))</f>
        <v/>
      </c>
      <c r="H78" s="148" t="n"/>
      <c r="I78" s="155">
        <f>IF(E78="","",IF(H78&lt;&gt;"",H78,G78))</f>
        <v/>
      </c>
      <c r="J78" s="156">
        <f>IF(E78="","",IF(E78="Químico (laboratório)",IFERROR(INDEX(EX_VALOR,MATCH(F78,EX_NOMES,0)),0),IF(E78="Avaliação qualitativa",IF(SUMIFS($I$12:$I$111,$E$12:$E$111,"Avaliação qualitativa")&gt;1,P_QUAL_VARIAS,P_QUAL_UNICA),IFERROR(INDEX(T_FIXO,MATCH(E78,T_TIPOS,0)),0))))</f>
        <v/>
      </c>
      <c r="K78" s="156">
        <f>IF(E78="","",I78*J78)</f>
        <v/>
      </c>
      <c r="L78" s="280">
        <f>IF(E78="","",I78*IFERROR(INDEX(T_HORAS,MATCH(E78,T_TIPOS,0)),0))</f>
        <v/>
      </c>
      <c r="M78" s="155">
        <f>IF(E78="","",I78*P_FOLHAS_AV)</f>
        <v/>
      </c>
      <c r="N78" s="148" t="n"/>
      <c r="O78" s="158">
        <f>IF(AND(E78="Químico (laboratório)",F78&lt;&gt;"",COUNTIFS($F$12:F78,F78,$E$12:E78,"Químico (laboratório)")=1),MAX($O$11:O77)+1,"")</f>
        <v/>
      </c>
      <c r="P78" s="159">
        <f>IF(E78="","",IF(IFERROR(INDEX(T_PORDIA,MATCH(E78,T_TIPOS,0)),0)&gt;0,I78/INDEX(T_PORDIA,MATCH(E78,T_TIPOS,0)),0))</f>
        <v/>
      </c>
    </row>
    <row r="79">
      <c r="A79" s="155">
        <f>IF(E79="","",ROW()-11)</f>
        <v/>
      </c>
      <c r="B79" s="148" t="n"/>
      <c r="C79" s="148" t="n"/>
      <c r="D79" s="148" t="n"/>
      <c r="E79" s="148" t="n"/>
      <c r="F79" s="148" t="n"/>
      <c r="G79" s="155">
        <f>IF(E79="","",IF(E79="Ruído (dosimetria)",IF(D79&gt;P_DOS_LIM,ROUNDUP(D79*P_DOS_PCT,0),IF(N(D79)&gt;0,1,0)),IF(E79="Ausência de risco",0,IF(OR(D79="",N(D79)&gt;0),1,0))))</f>
        <v/>
      </c>
      <c r="H79" s="148" t="n"/>
      <c r="I79" s="155">
        <f>IF(E79="","",IF(H79&lt;&gt;"",H79,G79))</f>
        <v/>
      </c>
      <c r="J79" s="156">
        <f>IF(E79="","",IF(E79="Químico (laboratório)",IFERROR(INDEX(EX_VALOR,MATCH(F79,EX_NOMES,0)),0),IF(E79="Avaliação qualitativa",IF(SUMIFS($I$12:$I$111,$E$12:$E$111,"Avaliação qualitativa")&gt;1,P_QUAL_VARIAS,P_QUAL_UNICA),IFERROR(INDEX(T_FIXO,MATCH(E79,T_TIPOS,0)),0))))</f>
        <v/>
      </c>
      <c r="K79" s="156">
        <f>IF(E79="","",I79*J79)</f>
        <v/>
      </c>
      <c r="L79" s="280">
        <f>IF(E79="","",I79*IFERROR(INDEX(T_HORAS,MATCH(E79,T_TIPOS,0)),0))</f>
        <v/>
      </c>
      <c r="M79" s="155">
        <f>IF(E79="","",I79*P_FOLHAS_AV)</f>
        <v/>
      </c>
      <c r="N79" s="148" t="n"/>
      <c r="O79" s="158">
        <f>IF(AND(E79="Químico (laboratório)",F79&lt;&gt;"",COUNTIFS($F$12:F79,F79,$E$12:E79,"Químico (laboratório)")=1),MAX($O$11:O78)+1,"")</f>
        <v/>
      </c>
      <c r="P79" s="159">
        <f>IF(E79="","",IF(IFERROR(INDEX(T_PORDIA,MATCH(E79,T_TIPOS,0)),0)&gt;0,I79/INDEX(T_PORDIA,MATCH(E79,T_TIPOS,0)),0))</f>
        <v/>
      </c>
    </row>
    <row r="80">
      <c r="A80" s="155">
        <f>IF(E80="","",ROW()-11)</f>
        <v/>
      </c>
      <c r="B80" s="148" t="n"/>
      <c r="C80" s="148" t="n"/>
      <c r="D80" s="148" t="n"/>
      <c r="E80" s="148" t="n"/>
      <c r="F80" s="148" t="n"/>
      <c r="G80" s="155">
        <f>IF(E80="","",IF(E80="Ruído (dosimetria)",IF(D80&gt;P_DOS_LIM,ROUNDUP(D80*P_DOS_PCT,0),IF(N(D80)&gt;0,1,0)),IF(E80="Ausência de risco",0,IF(OR(D80="",N(D80)&gt;0),1,0))))</f>
        <v/>
      </c>
      <c r="H80" s="148" t="n"/>
      <c r="I80" s="155">
        <f>IF(E80="","",IF(H80&lt;&gt;"",H80,G80))</f>
        <v/>
      </c>
      <c r="J80" s="156">
        <f>IF(E80="","",IF(E80="Químico (laboratório)",IFERROR(INDEX(EX_VALOR,MATCH(F80,EX_NOMES,0)),0),IF(E80="Avaliação qualitativa",IF(SUMIFS($I$12:$I$111,$E$12:$E$111,"Avaliação qualitativa")&gt;1,P_QUAL_VARIAS,P_QUAL_UNICA),IFERROR(INDEX(T_FIXO,MATCH(E80,T_TIPOS,0)),0))))</f>
        <v/>
      </c>
      <c r="K80" s="156">
        <f>IF(E80="","",I80*J80)</f>
        <v/>
      </c>
      <c r="L80" s="280">
        <f>IF(E80="","",I80*IFERROR(INDEX(T_HORAS,MATCH(E80,T_TIPOS,0)),0))</f>
        <v/>
      </c>
      <c r="M80" s="155">
        <f>IF(E80="","",I80*P_FOLHAS_AV)</f>
        <v/>
      </c>
      <c r="N80" s="148" t="n"/>
      <c r="O80" s="158">
        <f>IF(AND(E80="Químico (laboratório)",F80&lt;&gt;"",COUNTIFS($F$12:F80,F80,$E$12:E80,"Químico (laboratório)")=1),MAX($O$11:O79)+1,"")</f>
        <v/>
      </c>
      <c r="P80" s="159">
        <f>IF(E80="","",IF(IFERROR(INDEX(T_PORDIA,MATCH(E80,T_TIPOS,0)),0)&gt;0,I80/INDEX(T_PORDIA,MATCH(E80,T_TIPOS,0)),0))</f>
        <v/>
      </c>
    </row>
    <row r="81">
      <c r="A81" s="155">
        <f>IF(E81="","",ROW()-11)</f>
        <v/>
      </c>
      <c r="B81" s="148" t="n"/>
      <c r="C81" s="148" t="n"/>
      <c r="D81" s="148" t="n"/>
      <c r="E81" s="148" t="n"/>
      <c r="F81" s="148" t="n"/>
      <c r="G81" s="155">
        <f>IF(E81="","",IF(E81="Ruído (dosimetria)",IF(D81&gt;P_DOS_LIM,ROUNDUP(D81*P_DOS_PCT,0),IF(N(D81)&gt;0,1,0)),IF(E81="Ausência de risco",0,IF(OR(D81="",N(D81)&gt;0),1,0))))</f>
        <v/>
      </c>
      <c r="H81" s="148" t="n"/>
      <c r="I81" s="155">
        <f>IF(E81="","",IF(H81&lt;&gt;"",H81,G81))</f>
        <v/>
      </c>
      <c r="J81" s="156">
        <f>IF(E81="","",IF(E81="Químico (laboratório)",IFERROR(INDEX(EX_VALOR,MATCH(F81,EX_NOMES,0)),0),IF(E81="Avaliação qualitativa",IF(SUMIFS($I$12:$I$111,$E$12:$E$111,"Avaliação qualitativa")&gt;1,P_QUAL_VARIAS,P_QUAL_UNICA),IFERROR(INDEX(T_FIXO,MATCH(E81,T_TIPOS,0)),0))))</f>
        <v/>
      </c>
      <c r="K81" s="156">
        <f>IF(E81="","",I81*J81)</f>
        <v/>
      </c>
      <c r="L81" s="280">
        <f>IF(E81="","",I81*IFERROR(INDEX(T_HORAS,MATCH(E81,T_TIPOS,0)),0))</f>
        <v/>
      </c>
      <c r="M81" s="155">
        <f>IF(E81="","",I81*P_FOLHAS_AV)</f>
        <v/>
      </c>
      <c r="N81" s="148" t="n"/>
      <c r="O81" s="158">
        <f>IF(AND(E81="Químico (laboratório)",F81&lt;&gt;"",COUNTIFS($F$12:F81,F81,$E$12:E81,"Químico (laboratório)")=1),MAX($O$11:O80)+1,"")</f>
        <v/>
      </c>
      <c r="P81" s="159">
        <f>IF(E81="","",IF(IFERROR(INDEX(T_PORDIA,MATCH(E81,T_TIPOS,0)),0)&gt;0,I81/INDEX(T_PORDIA,MATCH(E81,T_TIPOS,0)),0))</f>
        <v/>
      </c>
    </row>
    <row r="82">
      <c r="A82" s="155">
        <f>IF(E82="","",ROW()-11)</f>
        <v/>
      </c>
      <c r="B82" s="148" t="n"/>
      <c r="C82" s="148" t="n"/>
      <c r="D82" s="148" t="n"/>
      <c r="E82" s="148" t="n"/>
      <c r="F82" s="148" t="n"/>
      <c r="G82" s="155">
        <f>IF(E82="","",IF(E82="Ruído (dosimetria)",IF(D82&gt;P_DOS_LIM,ROUNDUP(D82*P_DOS_PCT,0),IF(N(D82)&gt;0,1,0)),IF(E82="Ausência de risco",0,IF(OR(D82="",N(D82)&gt;0),1,0))))</f>
        <v/>
      </c>
      <c r="H82" s="148" t="n"/>
      <c r="I82" s="155">
        <f>IF(E82="","",IF(H82&lt;&gt;"",H82,G82))</f>
        <v/>
      </c>
      <c r="J82" s="156">
        <f>IF(E82="","",IF(E82="Químico (laboratório)",IFERROR(INDEX(EX_VALOR,MATCH(F82,EX_NOMES,0)),0),IF(E82="Avaliação qualitativa",IF(SUMIFS($I$12:$I$111,$E$12:$E$111,"Avaliação qualitativa")&gt;1,P_QUAL_VARIAS,P_QUAL_UNICA),IFERROR(INDEX(T_FIXO,MATCH(E82,T_TIPOS,0)),0))))</f>
        <v/>
      </c>
      <c r="K82" s="156">
        <f>IF(E82="","",I82*J82)</f>
        <v/>
      </c>
      <c r="L82" s="280">
        <f>IF(E82="","",I82*IFERROR(INDEX(T_HORAS,MATCH(E82,T_TIPOS,0)),0))</f>
        <v/>
      </c>
      <c r="M82" s="155">
        <f>IF(E82="","",I82*P_FOLHAS_AV)</f>
        <v/>
      </c>
      <c r="N82" s="148" t="n"/>
      <c r="O82" s="158">
        <f>IF(AND(E82="Químico (laboratório)",F82&lt;&gt;"",COUNTIFS($F$12:F82,F82,$E$12:E82,"Químico (laboratório)")=1),MAX($O$11:O81)+1,"")</f>
        <v/>
      </c>
      <c r="P82" s="159">
        <f>IF(E82="","",IF(IFERROR(INDEX(T_PORDIA,MATCH(E82,T_TIPOS,0)),0)&gt;0,I82/INDEX(T_PORDIA,MATCH(E82,T_TIPOS,0)),0))</f>
        <v/>
      </c>
    </row>
    <row r="83">
      <c r="A83" s="155">
        <f>IF(E83="","",ROW()-11)</f>
        <v/>
      </c>
      <c r="B83" s="148" t="n"/>
      <c r="C83" s="148" t="n"/>
      <c r="D83" s="148" t="n"/>
      <c r="E83" s="148" t="n"/>
      <c r="F83" s="148" t="n"/>
      <c r="G83" s="155">
        <f>IF(E83="","",IF(E83="Ruído (dosimetria)",IF(D83&gt;P_DOS_LIM,ROUNDUP(D83*P_DOS_PCT,0),IF(N(D83)&gt;0,1,0)),IF(E83="Ausência de risco",0,IF(OR(D83="",N(D83)&gt;0),1,0))))</f>
        <v/>
      </c>
      <c r="H83" s="148" t="n"/>
      <c r="I83" s="155">
        <f>IF(E83="","",IF(H83&lt;&gt;"",H83,G83))</f>
        <v/>
      </c>
      <c r="J83" s="156">
        <f>IF(E83="","",IF(E83="Químico (laboratório)",IFERROR(INDEX(EX_VALOR,MATCH(F83,EX_NOMES,0)),0),IF(E83="Avaliação qualitativa",IF(SUMIFS($I$12:$I$111,$E$12:$E$111,"Avaliação qualitativa")&gt;1,P_QUAL_VARIAS,P_QUAL_UNICA),IFERROR(INDEX(T_FIXO,MATCH(E83,T_TIPOS,0)),0))))</f>
        <v/>
      </c>
      <c r="K83" s="156">
        <f>IF(E83="","",I83*J83)</f>
        <v/>
      </c>
      <c r="L83" s="280">
        <f>IF(E83="","",I83*IFERROR(INDEX(T_HORAS,MATCH(E83,T_TIPOS,0)),0))</f>
        <v/>
      </c>
      <c r="M83" s="155">
        <f>IF(E83="","",I83*P_FOLHAS_AV)</f>
        <v/>
      </c>
      <c r="N83" s="148" t="n"/>
      <c r="O83" s="158">
        <f>IF(AND(E83="Químico (laboratório)",F83&lt;&gt;"",COUNTIFS($F$12:F83,F83,$E$12:E83,"Químico (laboratório)")=1),MAX($O$11:O82)+1,"")</f>
        <v/>
      </c>
      <c r="P83" s="159">
        <f>IF(E83="","",IF(IFERROR(INDEX(T_PORDIA,MATCH(E83,T_TIPOS,0)),0)&gt;0,I83/INDEX(T_PORDIA,MATCH(E83,T_TIPOS,0)),0))</f>
        <v/>
      </c>
    </row>
    <row r="84">
      <c r="A84" s="155">
        <f>IF(E84="","",ROW()-11)</f>
        <v/>
      </c>
      <c r="B84" s="148" t="n"/>
      <c r="C84" s="148" t="n"/>
      <c r="D84" s="148" t="n"/>
      <c r="E84" s="148" t="n"/>
      <c r="F84" s="148" t="n"/>
      <c r="G84" s="155">
        <f>IF(E84="","",IF(E84="Ruído (dosimetria)",IF(D84&gt;P_DOS_LIM,ROUNDUP(D84*P_DOS_PCT,0),IF(N(D84)&gt;0,1,0)),IF(E84="Ausência de risco",0,IF(OR(D84="",N(D84)&gt;0),1,0))))</f>
        <v/>
      </c>
      <c r="H84" s="148" t="n"/>
      <c r="I84" s="155">
        <f>IF(E84="","",IF(H84&lt;&gt;"",H84,G84))</f>
        <v/>
      </c>
      <c r="J84" s="156">
        <f>IF(E84="","",IF(E84="Químico (laboratório)",IFERROR(INDEX(EX_VALOR,MATCH(F84,EX_NOMES,0)),0),IF(E84="Avaliação qualitativa",IF(SUMIFS($I$12:$I$111,$E$12:$E$111,"Avaliação qualitativa")&gt;1,P_QUAL_VARIAS,P_QUAL_UNICA),IFERROR(INDEX(T_FIXO,MATCH(E84,T_TIPOS,0)),0))))</f>
        <v/>
      </c>
      <c r="K84" s="156">
        <f>IF(E84="","",I84*J84)</f>
        <v/>
      </c>
      <c r="L84" s="280">
        <f>IF(E84="","",I84*IFERROR(INDEX(T_HORAS,MATCH(E84,T_TIPOS,0)),0))</f>
        <v/>
      </c>
      <c r="M84" s="155">
        <f>IF(E84="","",I84*P_FOLHAS_AV)</f>
        <v/>
      </c>
      <c r="N84" s="148" t="n"/>
      <c r="O84" s="158">
        <f>IF(AND(E84="Químico (laboratório)",F84&lt;&gt;"",COUNTIFS($F$12:F84,F84,$E$12:E84,"Químico (laboratório)")=1),MAX($O$11:O83)+1,"")</f>
        <v/>
      </c>
      <c r="P84" s="159">
        <f>IF(E84="","",IF(IFERROR(INDEX(T_PORDIA,MATCH(E84,T_TIPOS,0)),0)&gt;0,I84/INDEX(T_PORDIA,MATCH(E84,T_TIPOS,0)),0))</f>
        <v/>
      </c>
    </row>
    <row r="85">
      <c r="A85" s="155">
        <f>IF(E85="","",ROW()-11)</f>
        <v/>
      </c>
      <c r="B85" s="148" t="n"/>
      <c r="C85" s="148" t="n"/>
      <c r="D85" s="148" t="n"/>
      <c r="E85" s="148" t="n"/>
      <c r="F85" s="148" t="n"/>
      <c r="G85" s="155">
        <f>IF(E85="","",IF(E85="Ruído (dosimetria)",IF(D85&gt;P_DOS_LIM,ROUNDUP(D85*P_DOS_PCT,0),IF(N(D85)&gt;0,1,0)),IF(E85="Ausência de risco",0,IF(OR(D85="",N(D85)&gt;0),1,0))))</f>
        <v/>
      </c>
      <c r="H85" s="148" t="n"/>
      <c r="I85" s="155">
        <f>IF(E85="","",IF(H85&lt;&gt;"",H85,G85))</f>
        <v/>
      </c>
      <c r="J85" s="156">
        <f>IF(E85="","",IF(E85="Químico (laboratório)",IFERROR(INDEX(EX_VALOR,MATCH(F85,EX_NOMES,0)),0),IF(E85="Avaliação qualitativa",IF(SUMIFS($I$12:$I$111,$E$12:$E$111,"Avaliação qualitativa")&gt;1,P_QUAL_VARIAS,P_QUAL_UNICA),IFERROR(INDEX(T_FIXO,MATCH(E85,T_TIPOS,0)),0))))</f>
        <v/>
      </c>
      <c r="K85" s="156">
        <f>IF(E85="","",I85*J85)</f>
        <v/>
      </c>
      <c r="L85" s="280">
        <f>IF(E85="","",I85*IFERROR(INDEX(T_HORAS,MATCH(E85,T_TIPOS,0)),0))</f>
        <v/>
      </c>
      <c r="M85" s="155">
        <f>IF(E85="","",I85*P_FOLHAS_AV)</f>
        <v/>
      </c>
      <c r="N85" s="148" t="n"/>
      <c r="O85" s="158">
        <f>IF(AND(E85="Químico (laboratório)",F85&lt;&gt;"",COUNTIFS($F$12:F85,F85,$E$12:E85,"Químico (laboratório)")=1),MAX($O$11:O84)+1,"")</f>
        <v/>
      </c>
      <c r="P85" s="159">
        <f>IF(E85="","",IF(IFERROR(INDEX(T_PORDIA,MATCH(E85,T_TIPOS,0)),0)&gt;0,I85/INDEX(T_PORDIA,MATCH(E85,T_TIPOS,0)),0))</f>
        <v/>
      </c>
    </row>
    <row r="86">
      <c r="A86" s="155">
        <f>IF(E86="","",ROW()-11)</f>
        <v/>
      </c>
      <c r="B86" s="148" t="n"/>
      <c r="C86" s="148" t="n"/>
      <c r="D86" s="148" t="n"/>
      <c r="E86" s="148" t="n"/>
      <c r="F86" s="148" t="n"/>
      <c r="G86" s="155">
        <f>IF(E86="","",IF(E86="Ruído (dosimetria)",IF(D86&gt;P_DOS_LIM,ROUNDUP(D86*P_DOS_PCT,0),IF(N(D86)&gt;0,1,0)),IF(E86="Ausência de risco",0,IF(OR(D86="",N(D86)&gt;0),1,0))))</f>
        <v/>
      </c>
      <c r="H86" s="148" t="n"/>
      <c r="I86" s="155">
        <f>IF(E86="","",IF(H86&lt;&gt;"",H86,G86))</f>
        <v/>
      </c>
      <c r="J86" s="156">
        <f>IF(E86="","",IF(E86="Químico (laboratório)",IFERROR(INDEX(EX_VALOR,MATCH(F86,EX_NOMES,0)),0),IF(E86="Avaliação qualitativa",IF(SUMIFS($I$12:$I$111,$E$12:$E$111,"Avaliação qualitativa")&gt;1,P_QUAL_VARIAS,P_QUAL_UNICA),IFERROR(INDEX(T_FIXO,MATCH(E86,T_TIPOS,0)),0))))</f>
        <v/>
      </c>
      <c r="K86" s="156">
        <f>IF(E86="","",I86*J86)</f>
        <v/>
      </c>
      <c r="L86" s="280">
        <f>IF(E86="","",I86*IFERROR(INDEX(T_HORAS,MATCH(E86,T_TIPOS,0)),0))</f>
        <v/>
      </c>
      <c r="M86" s="155">
        <f>IF(E86="","",I86*P_FOLHAS_AV)</f>
        <v/>
      </c>
      <c r="N86" s="148" t="n"/>
      <c r="O86" s="158">
        <f>IF(AND(E86="Químico (laboratório)",F86&lt;&gt;"",COUNTIFS($F$12:F86,F86,$E$12:E86,"Químico (laboratório)")=1),MAX($O$11:O85)+1,"")</f>
        <v/>
      </c>
      <c r="P86" s="159">
        <f>IF(E86="","",IF(IFERROR(INDEX(T_PORDIA,MATCH(E86,T_TIPOS,0)),0)&gt;0,I86/INDEX(T_PORDIA,MATCH(E86,T_TIPOS,0)),0))</f>
        <v/>
      </c>
    </row>
    <row r="87">
      <c r="A87" s="155">
        <f>IF(E87="","",ROW()-11)</f>
        <v/>
      </c>
      <c r="B87" s="148" t="n"/>
      <c r="C87" s="148" t="n"/>
      <c r="D87" s="148" t="n"/>
      <c r="E87" s="148" t="n"/>
      <c r="F87" s="148" t="n"/>
      <c r="G87" s="155">
        <f>IF(E87="","",IF(E87="Ruído (dosimetria)",IF(D87&gt;P_DOS_LIM,ROUNDUP(D87*P_DOS_PCT,0),IF(N(D87)&gt;0,1,0)),IF(E87="Ausência de risco",0,IF(OR(D87="",N(D87)&gt;0),1,0))))</f>
        <v/>
      </c>
      <c r="H87" s="148" t="n"/>
      <c r="I87" s="155">
        <f>IF(E87="","",IF(H87&lt;&gt;"",H87,G87))</f>
        <v/>
      </c>
      <c r="J87" s="156">
        <f>IF(E87="","",IF(E87="Químico (laboratório)",IFERROR(INDEX(EX_VALOR,MATCH(F87,EX_NOMES,0)),0),IF(E87="Avaliação qualitativa",IF(SUMIFS($I$12:$I$111,$E$12:$E$111,"Avaliação qualitativa")&gt;1,P_QUAL_VARIAS,P_QUAL_UNICA),IFERROR(INDEX(T_FIXO,MATCH(E87,T_TIPOS,0)),0))))</f>
        <v/>
      </c>
      <c r="K87" s="156">
        <f>IF(E87="","",I87*J87)</f>
        <v/>
      </c>
      <c r="L87" s="280">
        <f>IF(E87="","",I87*IFERROR(INDEX(T_HORAS,MATCH(E87,T_TIPOS,0)),0))</f>
        <v/>
      </c>
      <c r="M87" s="155">
        <f>IF(E87="","",I87*P_FOLHAS_AV)</f>
        <v/>
      </c>
      <c r="N87" s="148" t="n"/>
      <c r="O87" s="158">
        <f>IF(AND(E87="Químico (laboratório)",F87&lt;&gt;"",COUNTIFS($F$12:F87,F87,$E$12:E87,"Químico (laboratório)")=1),MAX($O$11:O86)+1,"")</f>
        <v/>
      </c>
      <c r="P87" s="159">
        <f>IF(E87="","",IF(IFERROR(INDEX(T_PORDIA,MATCH(E87,T_TIPOS,0)),0)&gt;0,I87/INDEX(T_PORDIA,MATCH(E87,T_TIPOS,0)),0))</f>
        <v/>
      </c>
    </row>
    <row r="88">
      <c r="A88" s="155">
        <f>IF(E88="","",ROW()-11)</f>
        <v/>
      </c>
      <c r="B88" s="148" t="n"/>
      <c r="C88" s="148" t="n"/>
      <c r="D88" s="148" t="n"/>
      <c r="E88" s="148" t="n"/>
      <c r="F88" s="148" t="n"/>
      <c r="G88" s="155">
        <f>IF(E88="","",IF(E88="Ruído (dosimetria)",IF(D88&gt;P_DOS_LIM,ROUNDUP(D88*P_DOS_PCT,0),IF(N(D88)&gt;0,1,0)),IF(E88="Ausência de risco",0,IF(OR(D88="",N(D88)&gt;0),1,0))))</f>
        <v/>
      </c>
      <c r="H88" s="148" t="n"/>
      <c r="I88" s="155">
        <f>IF(E88="","",IF(H88&lt;&gt;"",H88,G88))</f>
        <v/>
      </c>
      <c r="J88" s="156">
        <f>IF(E88="","",IF(E88="Químico (laboratório)",IFERROR(INDEX(EX_VALOR,MATCH(F88,EX_NOMES,0)),0),IF(E88="Avaliação qualitativa",IF(SUMIFS($I$12:$I$111,$E$12:$E$111,"Avaliação qualitativa")&gt;1,P_QUAL_VARIAS,P_QUAL_UNICA),IFERROR(INDEX(T_FIXO,MATCH(E88,T_TIPOS,0)),0))))</f>
        <v/>
      </c>
      <c r="K88" s="156">
        <f>IF(E88="","",I88*J88)</f>
        <v/>
      </c>
      <c r="L88" s="280">
        <f>IF(E88="","",I88*IFERROR(INDEX(T_HORAS,MATCH(E88,T_TIPOS,0)),0))</f>
        <v/>
      </c>
      <c r="M88" s="155">
        <f>IF(E88="","",I88*P_FOLHAS_AV)</f>
        <v/>
      </c>
      <c r="N88" s="148" t="n"/>
      <c r="O88" s="158">
        <f>IF(AND(E88="Químico (laboratório)",F88&lt;&gt;"",COUNTIFS($F$12:F88,F88,$E$12:E88,"Químico (laboratório)")=1),MAX($O$11:O87)+1,"")</f>
        <v/>
      </c>
      <c r="P88" s="159">
        <f>IF(E88="","",IF(IFERROR(INDEX(T_PORDIA,MATCH(E88,T_TIPOS,0)),0)&gt;0,I88/INDEX(T_PORDIA,MATCH(E88,T_TIPOS,0)),0))</f>
        <v/>
      </c>
    </row>
    <row r="89">
      <c r="A89" s="155">
        <f>IF(E89="","",ROW()-11)</f>
        <v/>
      </c>
      <c r="B89" s="148" t="n"/>
      <c r="C89" s="148" t="n"/>
      <c r="D89" s="148" t="n"/>
      <c r="E89" s="148" t="n"/>
      <c r="F89" s="148" t="n"/>
      <c r="G89" s="155">
        <f>IF(E89="","",IF(E89="Ruído (dosimetria)",IF(D89&gt;P_DOS_LIM,ROUNDUP(D89*P_DOS_PCT,0),IF(N(D89)&gt;0,1,0)),IF(E89="Ausência de risco",0,IF(OR(D89="",N(D89)&gt;0),1,0))))</f>
        <v/>
      </c>
      <c r="H89" s="148" t="n"/>
      <c r="I89" s="155">
        <f>IF(E89="","",IF(H89&lt;&gt;"",H89,G89))</f>
        <v/>
      </c>
      <c r="J89" s="156">
        <f>IF(E89="","",IF(E89="Químico (laboratório)",IFERROR(INDEX(EX_VALOR,MATCH(F89,EX_NOMES,0)),0),IF(E89="Avaliação qualitativa",IF(SUMIFS($I$12:$I$111,$E$12:$E$111,"Avaliação qualitativa")&gt;1,P_QUAL_VARIAS,P_QUAL_UNICA),IFERROR(INDEX(T_FIXO,MATCH(E89,T_TIPOS,0)),0))))</f>
        <v/>
      </c>
      <c r="K89" s="156">
        <f>IF(E89="","",I89*J89)</f>
        <v/>
      </c>
      <c r="L89" s="280">
        <f>IF(E89="","",I89*IFERROR(INDEX(T_HORAS,MATCH(E89,T_TIPOS,0)),0))</f>
        <v/>
      </c>
      <c r="M89" s="155">
        <f>IF(E89="","",I89*P_FOLHAS_AV)</f>
        <v/>
      </c>
      <c r="N89" s="148" t="n"/>
      <c r="O89" s="158">
        <f>IF(AND(E89="Químico (laboratório)",F89&lt;&gt;"",COUNTIFS($F$12:F89,F89,$E$12:E89,"Químico (laboratório)")=1),MAX($O$11:O88)+1,"")</f>
        <v/>
      </c>
      <c r="P89" s="159">
        <f>IF(E89="","",IF(IFERROR(INDEX(T_PORDIA,MATCH(E89,T_TIPOS,0)),0)&gt;0,I89/INDEX(T_PORDIA,MATCH(E89,T_TIPOS,0)),0))</f>
        <v/>
      </c>
    </row>
    <row r="90">
      <c r="A90" s="155">
        <f>IF(E90="","",ROW()-11)</f>
        <v/>
      </c>
      <c r="B90" s="148" t="n"/>
      <c r="C90" s="148" t="n"/>
      <c r="D90" s="148" t="n"/>
      <c r="E90" s="148" t="n"/>
      <c r="F90" s="148" t="n"/>
      <c r="G90" s="155">
        <f>IF(E90="","",IF(E90="Ruído (dosimetria)",IF(D90&gt;P_DOS_LIM,ROUNDUP(D90*P_DOS_PCT,0),IF(N(D90)&gt;0,1,0)),IF(E90="Ausência de risco",0,IF(OR(D90="",N(D90)&gt;0),1,0))))</f>
        <v/>
      </c>
      <c r="H90" s="148" t="n"/>
      <c r="I90" s="155">
        <f>IF(E90="","",IF(H90&lt;&gt;"",H90,G90))</f>
        <v/>
      </c>
      <c r="J90" s="156">
        <f>IF(E90="","",IF(E90="Químico (laboratório)",IFERROR(INDEX(EX_VALOR,MATCH(F90,EX_NOMES,0)),0),IF(E90="Avaliação qualitativa",IF(SUMIFS($I$12:$I$111,$E$12:$E$111,"Avaliação qualitativa")&gt;1,P_QUAL_VARIAS,P_QUAL_UNICA),IFERROR(INDEX(T_FIXO,MATCH(E90,T_TIPOS,0)),0))))</f>
        <v/>
      </c>
      <c r="K90" s="156">
        <f>IF(E90="","",I90*J90)</f>
        <v/>
      </c>
      <c r="L90" s="280">
        <f>IF(E90="","",I90*IFERROR(INDEX(T_HORAS,MATCH(E90,T_TIPOS,0)),0))</f>
        <v/>
      </c>
      <c r="M90" s="155">
        <f>IF(E90="","",I90*P_FOLHAS_AV)</f>
        <v/>
      </c>
      <c r="N90" s="148" t="n"/>
      <c r="O90" s="158">
        <f>IF(AND(E90="Químico (laboratório)",F90&lt;&gt;"",COUNTIFS($F$12:F90,F90,$E$12:E90,"Químico (laboratório)")=1),MAX($O$11:O89)+1,"")</f>
        <v/>
      </c>
      <c r="P90" s="159">
        <f>IF(E90="","",IF(IFERROR(INDEX(T_PORDIA,MATCH(E90,T_TIPOS,0)),0)&gt;0,I90/INDEX(T_PORDIA,MATCH(E90,T_TIPOS,0)),0))</f>
        <v/>
      </c>
    </row>
    <row r="91">
      <c r="A91" s="155">
        <f>IF(E91="","",ROW()-11)</f>
        <v/>
      </c>
      <c r="B91" s="148" t="n"/>
      <c r="C91" s="148" t="n"/>
      <c r="D91" s="148" t="n"/>
      <c r="E91" s="148" t="n"/>
      <c r="F91" s="148" t="n"/>
      <c r="G91" s="155">
        <f>IF(E91="","",IF(E91="Ruído (dosimetria)",IF(D91&gt;P_DOS_LIM,ROUNDUP(D91*P_DOS_PCT,0),IF(N(D91)&gt;0,1,0)),IF(E91="Ausência de risco",0,IF(OR(D91="",N(D91)&gt;0),1,0))))</f>
        <v/>
      </c>
      <c r="H91" s="148" t="n"/>
      <c r="I91" s="155">
        <f>IF(E91="","",IF(H91&lt;&gt;"",H91,G91))</f>
        <v/>
      </c>
      <c r="J91" s="156">
        <f>IF(E91="","",IF(E91="Químico (laboratório)",IFERROR(INDEX(EX_VALOR,MATCH(F91,EX_NOMES,0)),0),IF(E91="Avaliação qualitativa",IF(SUMIFS($I$12:$I$111,$E$12:$E$111,"Avaliação qualitativa")&gt;1,P_QUAL_VARIAS,P_QUAL_UNICA),IFERROR(INDEX(T_FIXO,MATCH(E91,T_TIPOS,0)),0))))</f>
        <v/>
      </c>
      <c r="K91" s="156">
        <f>IF(E91="","",I91*J91)</f>
        <v/>
      </c>
      <c r="L91" s="280">
        <f>IF(E91="","",I91*IFERROR(INDEX(T_HORAS,MATCH(E91,T_TIPOS,0)),0))</f>
        <v/>
      </c>
      <c r="M91" s="155">
        <f>IF(E91="","",I91*P_FOLHAS_AV)</f>
        <v/>
      </c>
      <c r="N91" s="148" t="n"/>
      <c r="O91" s="158">
        <f>IF(AND(E91="Químico (laboratório)",F91&lt;&gt;"",COUNTIFS($F$12:F91,F91,$E$12:E91,"Químico (laboratório)")=1),MAX($O$11:O90)+1,"")</f>
        <v/>
      </c>
      <c r="P91" s="159">
        <f>IF(E91="","",IF(IFERROR(INDEX(T_PORDIA,MATCH(E91,T_TIPOS,0)),0)&gt;0,I91/INDEX(T_PORDIA,MATCH(E91,T_TIPOS,0)),0))</f>
        <v/>
      </c>
    </row>
    <row r="92">
      <c r="A92" s="155">
        <f>IF(E92="","",ROW()-11)</f>
        <v/>
      </c>
      <c r="B92" s="148" t="n"/>
      <c r="C92" s="148" t="n"/>
      <c r="D92" s="148" t="n"/>
      <c r="E92" s="148" t="n"/>
      <c r="F92" s="148" t="n"/>
      <c r="G92" s="155">
        <f>IF(E92="","",IF(E92="Ruído (dosimetria)",IF(D92&gt;P_DOS_LIM,ROUNDUP(D92*P_DOS_PCT,0),IF(N(D92)&gt;0,1,0)),IF(E92="Ausência de risco",0,IF(OR(D92="",N(D92)&gt;0),1,0))))</f>
        <v/>
      </c>
      <c r="H92" s="148" t="n"/>
      <c r="I92" s="155">
        <f>IF(E92="","",IF(H92&lt;&gt;"",H92,G92))</f>
        <v/>
      </c>
      <c r="J92" s="156">
        <f>IF(E92="","",IF(E92="Químico (laboratório)",IFERROR(INDEX(EX_VALOR,MATCH(F92,EX_NOMES,0)),0),IF(E92="Avaliação qualitativa",IF(SUMIFS($I$12:$I$111,$E$12:$E$111,"Avaliação qualitativa")&gt;1,P_QUAL_VARIAS,P_QUAL_UNICA),IFERROR(INDEX(T_FIXO,MATCH(E92,T_TIPOS,0)),0))))</f>
        <v/>
      </c>
      <c r="K92" s="156">
        <f>IF(E92="","",I92*J92)</f>
        <v/>
      </c>
      <c r="L92" s="280">
        <f>IF(E92="","",I92*IFERROR(INDEX(T_HORAS,MATCH(E92,T_TIPOS,0)),0))</f>
        <v/>
      </c>
      <c r="M92" s="155">
        <f>IF(E92="","",I92*P_FOLHAS_AV)</f>
        <v/>
      </c>
      <c r="N92" s="148" t="n"/>
      <c r="O92" s="158">
        <f>IF(AND(E92="Químico (laboratório)",F92&lt;&gt;"",COUNTIFS($F$12:F92,F92,$E$12:E92,"Químico (laboratório)")=1),MAX($O$11:O91)+1,"")</f>
        <v/>
      </c>
      <c r="P92" s="159">
        <f>IF(E92="","",IF(IFERROR(INDEX(T_PORDIA,MATCH(E92,T_TIPOS,0)),0)&gt;0,I92/INDEX(T_PORDIA,MATCH(E92,T_TIPOS,0)),0))</f>
        <v/>
      </c>
    </row>
    <row r="93">
      <c r="A93" s="155">
        <f>IF(E93="","",ROW()-11)</f>
        <v/>
      </c>
      <c r="B93" s="148" t="n"/>
      <c r="C93" s="148" t="n"/>
      <c r="D93" s="148" t="n"/>
      <c r="E93" s="148" t="n"/>
      <c r="F93" s="148" t="n"/>
      <c r="G93" s="155">
        <f>IF(E93="","",IF(E93="Ruído (dosimetria)",IF(D93&gt;P_DOS_LIM,ROUNDUP(D93*P_DOS_PCT,0),IF(N(D93)&gt;0,1,0)),IF(E93="Ausência de risco",0,IF(OR(D93="",N(D93)&gt;0),1,0))))</f>
        <v/>
      </c>
      <c r="H93" s="148" t="n"/>
      <c r="I93" s="155">
        <f>IF(E93="","",IF(H93&lt;&gt;"",H93,G93))</f>
        <v/>
      </c>
      <c r="J93" s="156">
        <f>IF(E93="","",IF(E93="Químico (laboratório)",IFERROR(INDEX(EX_VALOR,MATCH(F93,EX_NOMES,0)),0),IF(E93="Avaliação qualitativa",IF(SUMIFS($I$12:$I$111,$E$12:$E$111,"Avaliação qualitativa")&gt;1,P_QUAL_VARIAS,P_QUAL_UNICA),IFERROR(INDEX(T_FIXO,MATCH(E93,T_TIPOS,0)),0))))</f>
        <v/>
      </c>
      <c r="K93" s="156">
        <f>IF(E93="","",I93*J93)</f>
        <v/>
      </c>
      <c r="L93" s="280">
        <f>IF(E93="","",I93*IFERROR(INDEX(T_HORAS,MATCH(E93,T_TIPOS,0)),0))</f>
        <v/>
      </c>
      <c r="M93" s="155">
        <f>IF(E93="","",I93*P_FOLHAS_AV)</f>
        <v/>
      </c>
      <c r="N93" s="148" t="n"/>
      <c r="O93" s="158">
        <f>IF(AND(E93="Químico (laboratório)",F93&lt;&gt;"",COUNTIFS($F$12:F93,F93,$E$12:E93,"Químico (laboratório)")=1),MAX($O$11:O92)+1,"")</f>
        <v/>
      </c>
      <c r="P93" s="159">
        <f>IF(E93="","",IF(IFERROR(INDEX(T_PORDIA,MATCH(E93,T_TIPOS,0)),0)&gt;0,I93/INDEX(T_PORDIA,MATCH(E93,T_TIPOS,0)),0))</f>
        <v/>
      </c>
    </row>
    <row r="94">
      <c r="A94" s="155">
        <f>IF(E94="","",ROW()-11)</f>
        <v/>
      </c>
      <c r="B94" s="148" t="n"/>
      <c r="C94" s="148" t="n"/>
      <c r="D94" s="148" t="n"/>
      <c r="E94" s="148" t="n"/>
      <c r="F94" s="148" t="n"/>
      <c r="G94" s="155">
        <f>IF(E94="","",IF(E94="Ruído (dosimetria)",IF(D94&gt;P_DOS_LIM,ROUNDUP(D94*P_DOS_PCT,0),IF(N(D94)&gt;0,1,0)),IF(E94="Ausência de risco",0,IF(OR(D94="",N(D94)&gt;0),1,0))))</f>
        <v/>
      </c>
      <c r="H94" s="148" t="n"/>
      <c r="I94" s="155">
        <f>IF(E94="","",IF(H94&lt;&gt;"",H94,G94))</f>
        <v/>
      </c>
      <c r="J94" s="156">
        <f>IF(E94="","",IF(E94="Químico (laboratório)",IFERROR(INDEX(EX_VALOR,MATCH(F94,EX_NOMES,0)),0),IF(E94="Avaliação qualitativa",IF(SUMIFS($I$12:$I$111,$E$12:$E$111,"Avaliação qualitativa")&gt;1,P_QUAL_VARIAS,P_QUAL_UNICA),IFERROR(INDEX(T_FIXO,MATCH(E94,T_TIPOS,0)),0))))</f>
        <v/>
      </c>
      <c r="K94" s="156">
        <f>IF(E94="","",I94*J94)</f>
        <v/>
      </c>
      <c r="L94" s="280">
        <f>IF(E94="","",I94*IFERROR(INDEX(T_HORAS,MATCH(E94,T_TIPOS,0)),0))</f>
        <v/>
      </c>
      <c r="M94" s="155">
        <f>IF(E94="","",I94*P_FOLHAS_AV)</f>
        <v/>
      </c>
      <c r="N94" s="148" t="n"/>
      <c r="O94" s="158">
        <f>IF(AND(E94="Químico (laboratório)",F94&lt;&gt;"",COUNTIFS($F$12:F94,F94,$E$12:E94,"Químico (laboratório)")=1),MAX($O$11:O93)+1,"")</f>
        <v/>
      </c>
      <c r="P94" s="159">
        <f>IF(E94="","",IF(IFERROR(INDEX(T_PORDIA,MATCH(E94,T_TIPOS,0)),0)&gt;0,I94/INDEX(T_PORDIA,MATCH(E94,T_TIPOS,0)),0))</f>
        <v/>
      </c>
    </row>
    <row r="95">
      <c r="A95" s="155">
        <f>IF(E95="","",ROW()-11)</f>
        <v/>
      </c>
      <c r="B95" s="148" t="n"/>
      <c r="C95" s="148" t="n"/>
      <c r="D95" s="148" t="n"/>
      <c r="E95" s="148" t="n"/>
      <c r="F95" s="148" t="n"/>
      <c r="G95" s="155">
        <f>IF(E95="","",IF(E95="Ruído (dosimetria)",IF(D95&gt;P_DOS_LIM,ROUNDUP(D95*P_DOS_PCT,0),IF(N(D95)&gt;0,1,0)),IF(E95="Ausência de risco",0,IF(OR(D95="",N(D95)&gt;0),1,0))))</f>
        <v/>
      </c>
      <c r="H95" s="148" t="n"/>
      <c r="I95" s="155">
        <f>IF(E95="","",IF(H95&lt;&gt;"",H95,G95))</f>
        <v/>
      </c>
      <c r="J95" s="156">
        <f>IF(E95="","",IF(E95="Químico (laboratório)",IFERROR(INDEX(EX_VALOR,MATCH(F95,EX_NOMES,0)),0),IF(E95="Avaliação qualitativa",IF(SUMIFS($I$12:$I$111,$E$12:$E$111,"Avaliação qualitativa")&gt;1,P_QUAL_VARIAS,P_QUAL_UNICA),IFERROR(INDEX(T_FIXO,MATCH(E95,T_TIPOS,0)),0))))</f>
        <v/>
      </c>
      <c r="K95" s="156">
        <f>IF(E95="","",I95*J95)</f>
        <v/>
      </c>
      <c r="L95" s="280">
        <f>IF(E95="","",I95*IFERROR(INDEX(T_HORAS,MATCH(E95,T_TIPOS,0)),0))</f>
        <v/>
      </c>
      <c r="M95" s="155">
        <f>IF(E95="","",I95*P_FOLHAS_AV)</f>
        <v/>
      </c>
      <c r="N95" s="148" t="n"/>
      <c r="O95" s="158">
        <f>IF(AND(E95="Químico (laboratório)",F95&lt;&gt;"",COUNTIFS($F$12:F95,F95,$E$12:E95,"Químico (laboratório)")=1),MAX($O$11:O94)+1,"")</f>
        <v/>
      </c>
      <c r="P95" s="159">
        <f>IF(E95="","",IF(IFERROR(INDEX(T_PORDIA,MATCH(E95,T_TIPOS,0)),0)&gt;0,I95/INDEX(T_PORDIA,MATCH(E95,T_TIPOS,0)),0))</f>
        <v/>
      </c>
    </row>
    <row r="96">
      <c r="A96" s="155">
        <f>IF(E96="","",ROW()-11)</f>
        <v/>
      </c>
      <c r="B96" s="148" t="n"/>
      <c r="C96" s="148" t="n"/>
      <c r="D96" s="148" t="n"/>
      <c r="E96" s="148" t="n"/>
      <c r="F96" s="148" t="n"/>
      <c r="G96" s="155">
        <f>IF(E96="","",IF(E96="Ruído (dosimetria)",IF(D96&gt;P_DOS_LIM,ROUNDUP(D96*P_DOS_PCT,0),IF(N(D96)&gt;0,1,0)),IF(E96="Ausência de risco",0,IF(OR(D96="",N(D96)&gt;0),1,0))))</f>
        <v/>
      </c>
      <c r="H96" s="148" t="n"/>
      <c r="I96" s="155">
        <f>IF(E96="","",IF(H96&lt;&gt;"",H96,G96))</f>
        <v/>
      </c>
      <c r="J96" s="156">
        <f>IF(E96="","",IF(E96="Químico (laboratório)",IFERROR(INDEX(EX_VALOR,MATCH(F96,EX_NOMES,0)),0),IF(E96="Avaliação qualitativa",IF(SUMIFS($I$12:$I$111,$E$12:$E$111,"Avaliação qualitativa")&gt;1,P_QUAL_VARIAS,P_QUAL_UNICA),IFERROR(INDEX(T_FIXO,MATCH(E96,T_TIPOS,0)),0))))</f>
        <v/>
      </c>
      <c r="K96" s="156">
        <f>IF(E96="","",I96*J96)</f>
        <v/>
      </c>
      <c r="L96" s="280">
        <f>IF(E96="","",I96*IFERROR(INDEX(T_HORAS,MATCH(E96,T_TIPOS,0)),0))</f>
        <v/>
      </c>
      <c r="M96" s="155">
        <f>IF(E96="","",I96*P_FOLHAS_AV)</f>
        <v/>
      </c>
      <c r="N96" s="148" t="n"/>
      <c r="O96" s="158">
        <f>IF(AND(E96="Químico (laboratório)",F96&lt;&gt;"",COUNTIFS($F$12:F96,F96,$E$12:E96,"Químico (laboratório)")=1),MAX($O$11:O95)+1,"")</f>
        <v/>
      </c>
      <c r="P96" s="159">
        <f>IF(E96="","",IF(IFERROR(INDEX(T_PORDIA,MATCH(E96,T_TIPOS,0)),0)&gt;0,I96/INDEX(T_PORDIA,MATCH(E96,T_TIPOS,0)),0))</f>
        <v/>
      </c>
    </row>
    <row r="97">
      <c r="A97" s="155">
        <f>IF(E97="","",ROW()-11)</f>
        <v/>
      </c>
      <c r="B97" s="148" t="n"/>
      <c r="C97" s="148" t="n"/>
      <c r="D97" s="148" t="n"/>
      <c r="E97" s="148" t="n"/>
      <c r="F97" s="148" t="n"/>
      <c r="G97" s="155">
        <f>IF(E97="","",IF(E97="Ruído (dosimetria)",IF(D97&gt;P_DOS_LIM,ROUNDUP(D97*P_DOS_PCT,0),IF(N(D97)&gt;0,1,0)),IF(E97="Ausência de risco",0,IF(OR(D97="",N(D97)&gt;0),1,0))))</f>
        <v/>
      </c>
      <c r="H97" s="148" t="n"/>
      <c r="I97" s="155">
        <f>IF(E97="","",IF(H97&lt;&gt;"",H97,G97))</f>
        <v/>
      </c>
      <c r="J97" s="156">
        <f>IF(E97="","",IF(E97="Químico (laboratório)",IFERROR(INDEX(EX_VALOR,MATCH(F97,EX_NOMES,0)),0),IF(E97="Avaliação qualitativa",IF(SUMIFS($I$12:$I$111,$E$12:$E$111,"Avaliação qualitativa")&gt;1,P_QUAL_VARIAS,P_QUAL_UNICA),IFERROR(INDEX(T_FIXO,MATCH(E97,T_TIPOS,0)),0))))</f>
        <v/>
      </c>
      <c r="K97" s="156">
        <f>IF(E97="","",I97*J97)</f>
        <v/>
      </c>
      <c r="L97" s="280">
        <f>IF(E97="","",I97*IFERROR(INDEX(T_HORAS,MATCH(E97,T_TIPOS,0)),0))</f>
        <v/>
      </c>
      <c r="M97" s="155">
        <f>IF(E97="","",I97*P_FOLHAS_AV)</f>
        <v/>
      </c>
      <c r="N97" s="148" t="n"/>
      <c r="O97" s="158">
        <f>IF(AND(E97="Químico (laboratório)",F97&lt;&gt;"",COUNTIFS($F$12:F97,F97,$E$12:E97,"Químico (laboratório)")=1),MAX($O$11:O96)+1,"")</f>
        <v/>
      </c>
      <c r="P97" s="159">
        <f>IF(E97="","",IF(IFERROR(INDEX(T_PORDIA,MATCH(E97,T_TIPOS,0)),0)&gt;0,I97/INDEX(T_PORDIA,MATCH(E97,T_TIPOS,0)),0))</f>
        <v/>
      </c>
    </row>
    <row r="98">
      <c r="A98" s="155">
        <f>IF(E98="","",ROW()-11)</f>
        <v/>
      </c>
      <c r="B98" s="148" t="n"/>
      <c r="C98" s="148" t="n"/>
      <c r="D98" s="148" t="n"/>
      <c r="E98" s="148" t="n"/>
      <c r="F98" s="148" t="n"/>
      <c r="G98" s="155">
        <f>IF(E98="","",IF(E98="Ruído (dosimetria)",IF(D98&gt;P_DOS_LIM,ROUNDUP(D98*P_DOS_PCT,0),IF(N(D98)&gt;0,1,0)),IF(E98="Ausência de risco",0,IF(OR(D98="",N(D98)&gt;0),1,0))))</f>
        <v/>
      </c>
      <c r="H98" s="148" t="n"/>
      <c r="I98" s="155">
        <f>IF(E98="","",IF(H98&lt;&gt;"",H98,G98))</f>
        <v/>
      </c>
      <c r="J98" s="156">
        <f>IF(E98="","",IF(E98="Químico (laboratório)",IFERROR(INDEX(EX_VALOR,MATCH(F98,EX_NOMES,0)),0),IF(E98="Avaliação qualitativa",IF(SUMIFS($I$12:$I$111,$E$12:$E$111,"Avaliação qualitativa")&gt;1,P_QUAL_VARIAS,P_QUAL_UNICA),IFERROR(INDEX(T_FIXO,MATCH(E98,T_TIPOS,0)),0))))</f>
        <v/>
      </c>
      <c r="K98" s="156">
        <f>IF(E98="","",I98*J98)</f>
        <v/>
      </c>
      <c r="L98" s="280">
        <f>IF(E98="","",I98*IFERROR(INDEX(T_HORAS,MATCH(E98,T_TIPOS,0)),0))</f>
        <v/>
      </c>
      <c r="M98" s="155">
        <f>IF(E98="","",I98*P_FOLHAS_AV)</f>
        <v/>
      </c>
      <c r="N98" s="148" t="n"/>
      <c r="O98" s="158">
        <f>IF(AND(E98="Químico (laboratório)",F98&lt;&gt;"",COUNTIFS($F$12:F98,F98,$E$12:E98,"Químico (laboratório)")=1),MAX($O$11:O97)+1,"")</f>
        <v/>
      </c>
      <c r="P98" s="159">
        <f>IF(E98="","",IF(IFERROR(INDEX(T_PORDIA,MATCH(E98,T_TIPOS,0)),0)&gt;0,I98/INDEX(T_PORDIA,MATCH(E98,T_TIPOS,0)),0))</f>
        <v/>
      </c>
    </row>
    <row r="99">
      <c r="A99" s="155">
        <f>IF(E99="","",ROW()-11)</f>
        <v/>
      </c>
      <c r="B99" s="148" t="n"/>
      <c r="C99" s="148" t="n"/>
      <c r="D99" s="148" t="n"/>
      <c r="E99" s="148" t="n"/>
      <c r="F99" s="148" t="n"/>
      <c r="G99" s="155">
        <f>IF(E99="","",IF(E99="Ruído (dosimetria)",IF(D99&gt;P_DOS_LIM,ROUNDUP(D99*P_DOS_PCT,0),IF(N(D99)&gt;0,1,0)),IF(E99="Ausência de risco",0,IF(OR(D99="",N(D99)&gt;0),1,0))))</f>
        <v/>
      </c>
      <c r="H99" s="148" t="n"/>
      <c r="I99" s="155">
        <f>IF(E99="","",IF(H99&lt;&gt;"",H99,G99))</f>
        <v/>
      </c>
      <c r="J99" s="156">
        <f>IF(E99="","",IF(E99="Químico (laboratório)",IFERROR(INDEX(EX_VALOR,MATCH(F99,EX_NOMES,0)),0),IF(E99="Avaliação qualitativa",IF(SUMIFS($I$12:$I$111,$E$12:$E$111,"Avaliação qualitativa")&gt;1,P_QUAL_VARIAS,P_QUAL_UNICA),IFERROR(INDEX(T_FIXO,MATCH(E99,T_TIPOS,0)),0))))</f>
        <v/>
      </c>
      <c r="K99" s="156">
        <f>IF(E99="","",I99*J99)</f>
        <v/>
      </c>
      <c r="L99" s="280">
        <f>IF(E99="","",I99*IFERROR(INDEX(T_HORAS,MATCH(E99,T_TIPOS,0)),0))</f>
        <v/>
      </c>
      <c r="M99" s="155">
        <f>IF(E99="","",I99*P_FOLHAS_AV)</f>
        <v/>
      </c>
      <c r="N99" s="148" t="n"/>
      <c r="O99" s="158">
        <f>IF(AND(E99="Químico (laboratório)",F99&lt;&gt;"",COUNTIFS($F$12:F99,F99,$E$12:E99,"Químico (laboratório)")=1),MAX($O$11:O98)+1,"")</f>
        <v/>
      </c>
      <c r="P99" s="159">
        <f>IF(E99="","",IF(IFERROR(INDEX(T_PORDIA,MATCH(E99,T_TIPOS,0)),0)&gt;0,I99/INDEX(T_PORDIA,MATCH(E99,T_TIPOS,0)),0))</f>
        <v/>
      </c>
    </row>
    <row r="100">
      <c r="A100" s="155">
        <f>IF(E100="","",ROW()-11)</f>
        <v/>
      </c>
      <c r="B100" s="148" t="n"/>
      <c r="C100" s="148" t="n"/>
      <c r="D100" s="148" t="n"/>
      <c r="E100" s="148" t="n"/>
      <c r="F100" s="148" t="n"/>
      <c r="G100" s="155">
        <f>IF(E100="","",IF(E100="Ruído (dosimetria)",IF(D100&gt;P_DOS_LIM,ROUNDUP(D100*P_DOS_PCT,0),IF(N(D100)&gt;0,1,0)),IF(E100="Ausência de risco",0,IF(OR(D100="",N(D100)&gt;0),1,0))))</f>
        <v/>
      </c>
      <c r="H100" s="148" t="n"/>
      <c r="I100" s="155">
        <f>IF(E100="","",IF(H100&lt;&gt;"",H100,G100))</f>
        <v/>
      </c>
      <c r="J100" s="156">
        <f>IF(E100="","",IF(E100="Químico (laboratório)",IFERROR(INDEX(EX_VALOR,MATCH(F100,EX_NOMES,0)),0),IF(E100="Avaliação qualitativa",IF(SUMIFS($I$12:$I$111,$E$12:$E$111,"Avaliação qualitativa")&gt;1,P_QUAL_VARIAS,P_QUAL_UNICA),IFERROR(INDEX(T_FIXO,MATCH(E100,T_TIPOS,0)),0))))</f>
        <v/>
      </c>
      <c r="K100" s="156">
        <f>IF(E100="","",I100*J100)</f>
        <v/>
      </c>
      <c r="L100" s="280">
        <f>IF(E100="","",I100*IFERROR(INDEX(T_HORAS,MATCH(E100,T_TIPOS,0)),0))</f>
        <v/>
      </c>
      <c r="M100" s="155">
        <f>IF(E100="","",I100*P_FOLHAS_AV)</f>
        <v/>
      </c>
      <c r="N100" s="148" t="n"/>
      <c r="O100" s="158">
        <f>IF(AND(E100="Químico (laboratório)",F100&lt;&gt;"",COUNTIFS($F$12:F100,F100,$E$12:E100,"Químico (laboratório)")=1),MAX($O$11:O99)+1,"")</f>
        <v/>
      </c>
      <c r="P100" s="159">
        <f>IF(E100="","",IF(IFERROR(INDEX(T_PORDIA,MATCH(E100,T_TIPOS,0)),0)&gt;0,I100/INDEX(T_PORDIA,MATCH(E100,T_TIPOS,0)),0))</f>
        <v/>
      </c>
    </row>
    <row r="101">
      <c r="A101" s="155">
        <f>IF(E101="","",ROW()-11)</f>
        <v/>
      </c>
      <c r="B101" s="148" t="n"/>
      <c r="C101" s="148" t="n"/>
      <c r="D101" s="148" t="n"/>
      <c r="E101" s="148" t="n"/>
      <c r="F101" s="148" t="n"/>
      <c r="G101" s="155">
        <f>IF(E101="","",IF(E101="Ruído (dosimetria)",IF(D101&gt;P_DOS_LIM,ROUNDUP(D101*P_DOS_PCT,0),IF(N(D101)&gt;0,1,0)),IF(E101="Ausência de risco",0,IF(OR(D101="",N(D101)&gt;0),1,0))))</f>
        <v/>
      </c>
      <c r="H101" s="148" t="n"/>
      <c r="I101" s="155">
        <f>IF(E101="","",IF(H101&lt;&gt;"",H101,G101))</f>
        <v/>
      </c>
      <c r="J101" s="156">
        <f>IF(E101="","",IF(E101="Químico (laboratório)",IFERROR(INDEX(EX_VALOR,MATCH(F101,EX_NOMES,0)),0),IF(E101="Avaliação qualitativa",IF(SUMIFS($I$12:$I$111,$E$12:$E$111,"Avaliação qualitativa")&gt;1,P_QUAL_VARIAS,P_QUAL_UNICA),IFERROR(INDEX(T_FIXO,MATCH(E101,T_TIPOS,0)),0))))</f>
        <v/>
      </c>
      <c r="K101" s="156">
        <f>IF(E101="","",I101*J101)</f>
        <v/>
      </c>
      <c r="L101" s="280">
        <f>IF(E101="","",I101*IFERROR(INDEX(T_HORAS,MATCH(E101,T_TIPOS,0)),0))</f>
        <v/>
      </c>
      <c r="M101" s="155">
        <f>IF(E101="","",I101*P_FOLHAS_AV)</f>
        <v/>
      </c>
      <c r="N101" s="148" t="n"/>
      <c r="O101" s="158">
        <f>IF(AND(E101="Químico (laboratório)",F101&lt;&gt;"",COUNTIFS($F$12:F101,F101,$E$12:E101,"Químico (laboratório)")=1),MAX($O$11:O100)+1,"")</f>
        <v/>
      </c>
      <c r="P101" s="159">
        <f>IF(E101="","",IF(IFERROR(INDEX(T_PORDIA,MATCH(E101,T_TIPOS,0)),0)&gt;0,I101/INDEX(T_PORDIA,MATCH(E101,T_TIPOS,0)),0))</f>
        <v/>
      </c>
    </row>
    <row r="102">
      <c r="A102" s="155">
        <f>IF(E102="","",ROW()-11)</f>
        <v/>
      </c>
      <c r="B102" s="148" t="n"/>
      <c r="C102" s="148" t="n"/>
      <c r="D102" s="148" t="n"/>
      <c r="E102" s="148" t="n"/>
      <c r="F102" s="148" t="n"/>
      <c r="G102" s="155">
        <f>IF(E102="","",IF(E102="Ruído (dosimetria)",IF(D102&gt;P_DOS_LIM,ROUNDUP(D102*P_DOS_PCT,0),IF(N(D102)&gt;0,1,0)),IF(E102="Ausência de risco",0,IF(OR(D102="",N(D102)&gt;0),1,0))))</f>
        <v/>
      </c>
      <c r="H102" s="148" t="n"/>
      <c r="I102" s="155">
        <f>IF(E102="","",IF(H102&lt;&gt;"",H102,G102))</f>
        <v/>
      </c>
      <c r="J102" s="156">
        <f>IF(E102="","",IF(E102="Químico (laboratório)",IFERROR(INDEX(EX_VALOR,MATCH(F102,EX_NOMES,0)),0),IF(E102="Avaliação qualitativa",IF(SUMIFS($I$12:$I$111,$E$12:$E$111,"Avaliação qualitativa")&gt;1,P_QUAL_VARIAS,P_QUAL_UNICA),IFERROR(INDEX(T_FIXO,MATCH(E102,T_TIPOS,0)),0))))</f>
        <v/>
      </c>
      <c r="K102" s="156">
        <f>IF(E102="","",I102*J102)</f>
        <v/>
      </c>
      <c r="L102" s="280">
        <f>IF(E102="","",I102*IFERROR(INDEX(T_HORAS,MATCH(E102,T_TIPOS,0)),0))</f>
        <v/>
      </c>
      <c r="M102" s="155">
        <f>IF(E102="","",I102*P_FOLHAS_AV)</f>
        <v/>
      </c>
      <c r="N102" s="148" t="n"/>
      <c r="O102" s="158">
        <f>IF(AND(E102="Químico (laboratório)",F102&lt;&gt;"",COUNTIFS($F$12:F102,F102,$E$12:E102,"Químico (laboratório)")=1),MAX($O$11:O101)+1,"")</f>
        <v/>
      </c>
      <c r="P102" s="159">
        <f>IF(E102="","",IF(IFERROR(INDEX(T_PORDIA,MATCH(E102,T_TIPOS,0)),0)&gt;0,I102/INDEX(T_PORDIA,MATCH(E102,T_TIPOS,0)),0))</f>
        <v/>
      </c>
    </row>
    <row r="103">
      <c r="A103" s="155">
        <f>IF(E103="","",ROW()-11)</f>
        <v/>
      </c>
      <c r="B103" s="148" t="n"/>
      <c r="C103" s="148" t="n"/>
      <c r="D103" s="148" t="n"/>
      <c r="E103" s="148" t="n"/>
      <c r="F103" s="148" t="n"/>
      <c r="G103" s="155">
        <f>IF(E103="","",IF(E103="Ruído (dosimetria)",IF(D103&gt;P_DOS_LIM,ROUNDUP(D103*P_DOS_PCT,0),IF(N(D103)&gt;0,1,0)),IF(E103="Ausência de risco",0,IF(OR(D103="",N(D103)&gt;0),1,0))))</f>
        <v/>
      </c>
      <c r="H103" s="148" t="n"/>
      <c r="I103" s="155">
        <f>IF(E103="","",IF(H103&lt;&gt;"",H103,G103))</f>
        <v/>
      </c>
      <c r="J103" s="156">
        <f>IF(E103="","",IF(E103="Químico (laboratório)",IFERROR(INDEX(EX_VALOR,MATCH(F103,EX_NOMES,0)),0),IF(E103="Avaliação qualitativa",IF(SUMIFS($I$12:$I$111,$E$12:$E$111,"Avaliação qualitativa")&gt;1,P_QUAL_VARIAS,P_QUAL_UNICA),IFERROR(INDEX(T_FIXO,MATCH(E103,T_TIPOS,0)),0))))</f>
        <v/>
      </c>
      <c r="K103" s="156">
        <f>IF(E103="","",I103*J103)</f>
        <v/>
      </c>
      <c r="L103" s="280">
        <f>IF(E103="","",I103*IFERROR(INDEX(T_HORAS,MATCH(E103,T_TIPOS,0)),0))</f>
        <v/>
      </c>
      <c r="M103" s="155">
        <f>IF(E103="","",I103*P_FOLHAS_AV)</f>
        <v/>
      </c>
      <c r="N103" s="148" t="n"/>
      <c r="O103" s="158">
        <f>IF(AND(E103="Químico (laboratório)",F103&lt;&gt;"",COUNTIFS($F$12:F103,F103,$E$12:E103,"Químico (laboratório)")=1),MAX($O$11:O102)+1,"")</f>
        <v/>
      </c>
      <c r="P103" s="159">
        <f>IF(E103="","",IF(IFERROR(INDEX(T_PORDIA,MATCH(E103,T_TIPOS,0)),0)&gt;0,I103/INDEX(T_PORDIA,MATCH(E103,T_TIPOS,0)),0))</f>
        <v/>
      </c>
    </row>
    <row r="104">
      <c r="A104" s="155">
        <f>IF(E104="","",ROW()-11)</f>
        <v/>
      </c>
      <c r="B104" s="148" t="n"/>
      <c r="C104" s="148" t="n"/>
      <c r="D104" s="148" t="n"/>
      <c r="E104" s="148" t="n"/>
      <c r="F104" s="148" t="n"/>
      <c r="G104" s="155">
        <f>IF(E104="","",IF(E104="Ruído (dosimetria)",IF(D104&gt;P_DOS_LIM,ROUNDUP(D104*P_DOS_PCT,0),IF(N(D104)&gt;0,1,0)),IF(E104="Ausência de risco",0,IF(OR(D104="",N(D104)&gt;0),1,0))))</f>
        <v/>
      </c>
      <c r="H104" s="148" t="n"/>
      <c r="I104" s="155">
        <f>IF(E104="","",IF(H104&lt;&gt;"",H104,G104))</f>
        <v/>
      </c>
      <c r="J104" s="156">
        <f>IF(E104="","",IF(E104="Químico (laboratório)",IFERROR(INDEX(EX_VALOR,MATCH(F104,EX_NOMES,0)),0),IF(E104="Avaliação qualitativa",IF(SUMIFS($I$12:$I$111,$E$12:$E$111,"Avaliação qualitativa")&gt;1,P_QUAL_VARIAS,P_QUAL_UNICA),IFERROR(INDEX(T_FIXO,MATCH(E104,T_TIPOS,0)),0))))</f>
        <v/>
      </c>
      <c r="K104" s="156">
        <f>IF(E104="","",I104*J104)</f>
        <v/>
      </c>
      <c r="L104" s="280">
        <f>IF(E104="","",I104*IFERROR(INDEX(T_HORAS,MATCH(E104,T_TIPOS,0)),0))</f>
        <v/>
      </c>
      <c r="M104" s="155">
        <f>IF(E104="","",I104*P_FOLHAS_AV)</f>
        <v/>
      </c>
      <c r="N104" s="148" t="n"/>
      <c r="O104" s="158">
        <f>IF(AND(E104="Químico (laboratório)",F104&lt;&gt;"",COUNTIFS($F$12:F104,F104,$E$12:E104,"Químico (laboratório)")=1),MAX($O$11:O103)+1,"")</f>
        <v/>
      </c>
      <c r="P104" s="159">
        <f>IF(E104="","",IF(IFERROR(INDEX(T_PORDIA,MATCH(E104,T_TIPOS,0)),0)&gt;0,I104/INDEX(T_PORDIA,MATCH(E104,T_TIPOS,0)),0))</f>
        <v/>
      </c>
    </row>
    <row r="105">
      <c r="A105" s="155">
        <f>IF(E105="","",ROW()-11)</f>
        <v/>
      </c>
      <c r="B105" s="148" t="n"/>
      <c r="C105" s="148" t="n"/>
      <c r="D105" s="148" t="n"/>
      <c r="E105" s="148" t="n"/>
      <c r="F105" s="148" t="n"/>
      <c r="G105" s="155">
        <f>IF(E105="","",IF(E105="Ruído (dosimetria)",IF(D105&gt;P_DOS_LIM,ROUNDUP(D105*P_DOS_PCT,0),IF(N(D105)&gt;0,1,0)),IF(E105="Ausência de risco",0,IF(OR(D105="",N(D105)&gt;0),1,0))))</f>
        <v/>
      </c>
      <c r="H105" s="148" t="n"/>
      <c r="I105" s="155">
        <f>IF(E105="","",IF(H105&lt;&gt;"",H105,G105))</f>
        <v/>
      </c>
      <c r="J105" s="156">
        <f>IF(E105="","",IF(E105="Químico (laboratório)",IFERROR(INDEX(EX_VALOR,MATCH(F105,EX_NOMES,0)),0),IF(E105="Avaliação qualitativa",IF(SUMIFS($I$12:$I$111,$E$12:$E$111,"Avaliação qualitativa")&gt;1,P_QUAL_VARIAS,P_QUAL_UNICA),IFERROR(INDEX(T_FIXO,MATCH(E105,T_TIPOS,0)),0))))</f>
        <v/>
      </c>
      <c r="K105" s="156">
        <f>IF(E105="","",I105*J105)</f>
        <v/>
      </c>
      <c r="L105" s="280">
        <f>IF(E105="","",I105*IFERROR(INDEX(T_HORAS,MATCH(E105,T_TIPOS,0)),0))</f>
        <v/>
      </c>
      <c r="M105" s="155">
        <f>IF(E105="","",I105*P_FOLHAS_AV)</f>
        <v/>
      </c>
      <c r="N105" s="148" t="n"/>
      <c r="O105" s="158">
        <f>IF(AND(E105="Químico (laboratório)",F105&lt;&gt;"",COUNTIFS($F$12:F105,F105,$E$12:E105,"Químico (laboratório)")=1),MAX($O$11:O104)+1,"")</f>
        <v/>
      </c>
      <c r="P105" s="159">
        <f>IF(E105="","",IF(IFERROR(INDEX(T_PORDIA,MATCH(E105,T_TIPOS,0)),0)&gt;0,I105/INDEX(T_PORDIA,MATCH(E105,T_TIPOS,0)),0))</f>
        <v/>
      </c>
    </row>
    <row r="106">
      <c r="A106" s="155">
        <f>IF(E106="","",ROW()-11)</f>
        <v/>
      </c>
      <c r="B106" s="148" t="n"/>
      <c r="C106" s="148" t="n"/>
      <c r="D106" s="148" t="n"/>
      <c r="E106" s="148" t="n"/>
      <c r="F106" s="148" t="n"/>
      <c r="G106" s="155">
        <f>IF(E106="","",IF(E106="Ruído (dosimetria)",IF(D106&gt;P_DOS_LIM,ROUNDUP(D106*P_DOS_PCT,0),IF(N(D106)&gt;0,1,0)),IF(E106="Ausência de risco",0,IF(OR(D106="",N(D106)&gt;0),1,0))))</f>
        <v/>
      </c>
      <c r="H106" s="148" t="n"/>
      <c r="I106" s="155">
        <f>IF(E106="","",IF(H106&lt;&gt;"",H106,G106))</f>
        <v/>
      </c>
      <c r="J106" s="156">
        <f>IF(E106="","",IF(E106="Químico (laboratório)",IFERROR(INDEX(EX_VALOR,MATCH(F106,EX_NOMES,0)),0),IF(E106="Avaliação qualitativa",IF(SUMIFS($I$12:$I$111,$E$12:$E$111,"Avaliação qualitativa")&gt;1,P_QUAL_VARIAS,P_QUAL_UNICA),IFERROR(INDEX(T_FIXO,MATCH(E106,T_TIPOS,0)),0))))</f>
        <v/>
      </c>
      <c r="K106" s="156">
        <f>IF(E106="","",I106*J106)</f>
        <v/>
      </c>
      <c r="L106" s="280">
        <f>IF(E106="","",I106*IFERROR(INDEX(T_HORAS,MATCH(E106,T_TIPOS,0)),0))</f>
        <v/>
      </c>
      <c r="M106" s="155">
        <f>IF(E106="","",I106*P_FOLHAS_AV)</f>
        <v/>
      </c>
      <c r="N106" s="148" t="n"/>
      <c r="O106" s="158">
        <f>IF(AND(E106="Químico (laboratório)",F106&lt;&gt;"",COUNTIFS($F$12:F106,F106,$E$12:E106,"Químico (laboratório)")=1),MAX($O$11:O105)+1,"")</f>
        <v/>
      </c>
      <c r="P106" s="159">
        <f>IF(E106="","",IF(IFERROR(INDEX(T_PORDIA,MATCH(E106,T_TIPOS,0)),0)&gt;0,I106/INDEX(T_PORDIA,MATCH(E106,T_TIPOS,0)),0))</f>
        <v/>
      </c>
    </row>
    <row r="107">
      <c r="A107" s="155">
        <f>IF(E107="","",ROW()-11)</f>
        <v/>
      </c>
      <c r="B107" s="148" t="n"/>
      <c r="C107" s="148" t="n"/>
      <c r="D107" s="148" t="n"/>
      <c r="E107" s="148" t="n"/>
      <c r="F107" s="148" t="n"/>
      <c r="G107" s="155">
        <f>IF(E107="","",IF(E107="Ruído (dosimetria)",IF(D107&gt;P_DOS_LIM,ROUNDUP(D107*P_DOS_PCT,0),IF(N(D107)&gt;0,1,0)),IF(E107="Ausência de risco",0,IF(OR(D107="",N(D107)&gt;0),1,0))))</f>
        <v/>
      </c>
      <c r="H107" s="148" t="n"/>
      <c r="I107" s="155">
        <f>IF(E107="","",IF(H107&lt;&gt;"",H107,G107))</f>
        <v/>
      </c>
      <c r="J107" s="156">
        <f>IF(E107="","",IF(E107="Químico (laboratório)",IFERROR(INDEX(EX_VALOR,MATCH(F107,EX_NOMES,0)),0),IF(E107="Avaliação qualitativa",IF(SUMIFS($I$12:$I$111,$E$12:$E$111,"Avaliação qualitativa")&gt;1,P_QUAL_VARIAS,P_QUAL_UNICA),IFERROR(INDEX(T_FIXO,MATCH(E107,T_TIPOS,0)),0))))</f>
        <v/>
      </c>
      <c r="K107" s="156">
        <f>IF(E107="","",I107*J107)</f>
        <v/>
      </c>
      <c r="L107" s="280">
        <f>IF(E107="","",I107*IFERROR(INDEX(T_HORAS,MATCH(E107,T_TIPOS,0)),0))</f>
        <v/>
      </c>
      <c r="M107" s="155">
        <f>IF(E107="","",I107*P_FOLHAS_AV)</f>
        <v/>
      </c>
      <c r="N107" s="148" t="n"/>
      <c r="O107" s="158">
        <f>IF(AND(E107="Químico (laboratório)",F107&lt;&gt;"",COUNTIFS($F$12:F107,F107,$E$12:E107,"Químico (laboratório)")=1),MAX($O$11:O106)+1,"")</f>
        <v/>
      </c>
      <c r="P107" s="159">
        <f>IF(E107="","",IF(IFERROR(INDEX(T_PORDIA,MATCH(E107,T_TIPOS,0)),0)&gt;0,I107/INDEX(T_PORDIA,MATCH(E107,T_TIPOS,0)),0))</f>
        <v/>
      </c>
    </row>
    <row r="108">
      <c r="A108" s="155">
        <f>IF(E108="","",ROW()-11)</f>
        <v/>
      </c>
      <c r="B108" s="148" t="n"/>
      <c r="C108" s="148" t="n"/>
      <c r="D108" s="148" t="n"/>
      <c r="E108" s="148" t="n"/>
      <c r="F108" s="148" t="n"/>
      <c r="G108" s="155">
        <f>IF(E108="","",IF(E108="Ruído (dosimetria)",IF(D108&gt;P_DOS_LIM,ROUNDUP(D108*P_DOS_PCT,0),IF(N(D108)&gt;0,1,0)),IF(E108="Ausência de risco",0,IF(OR(D108="",N(D108)&gt;0),1,0))))</f>
        <v/>
      </c>
      <c r="H108" s="148" t="n"/>
      <c r="I108" s="155">
        <f>IF(E108="","",IF(H108&lt;&gt;"",H108,G108))</f>
        <v/>
      </c>
      <c r="J108" s="156">
        <f>IF(E108="","",IF(E108="Químico (laboratório)",IFERROR(INDEX(EX_VALOR,MATCH(F108,EX_NOMES,0)),0),IF(E108="Avaliação qualitativa",IF(SUMIFS($I$12:$I$111,$E$12:$E$111,"Avaliação qualitativa")&gt;1,P_QUAL_VARIAS,P_QUAL_UNICA),IFERROR(INDEX(T_FIXO,MATCH(E108,T_TIPOS,0)),0))))</f>
        <v/>
      </c>
      <c r="K108" s="156">
        <f>IF(E108="","",I108*J108)</f>
        <v/>
      </c>
      <c r="L108" s="280">
        <f>IF(E108="","",I108*IFERROR(INDEX(T_HORAS,MATCH(E108,T_TIPOS,0)),0))</f>
        <v/>
      </c>
      <c r="M108" s="155">
        <f>IF(E108="","",I108*P_FOLHAS_AV)</f>
        <v/>
      </c>
      <c r="N108" s="148" t="n"/>
      <c r="O108" s="158">
        <f>IF(AND(E108="Químico (laboratório)",F108&lt;&gt;"",COUNTIFS($F$12:F108,F108,$E$12:E108,"Químico (laboratório)")=1),MAX($O$11:O107)+1,"")</f>
        <v/>
      </c>
      <c r="P108" s="159">
        <f>IF(E108="","",IF(IFERROR(INDEX(T_PORDIA,MATCH(E108,T_TIPOS,0)),0)&gt;0,I108/INDEX(T_PORDIA,MATCH(E108,T_TIPOS,0)),0))</f>
        <v/>
      </c>
    </row>
    <row r="109">
      <c r="A109" s="155">
        <f>IF(E109="","",ROW()-11)</f>
        <v/>
      </c>
      <c r="B109" s="148" t="n"/>
      <c r="C109" s="148" t="n"/>
      <c r="D109" s="148" t="n"/>
      <c r="E109" s="148" t="n"/>
      <c r="F109" s="148" t="n"/>
      <c r="G109" s="155">
        <f>IF(E109="","",IF(E109="Ruído (dosimetria)",IF(D109&gt;P_DOS_LIM,ROUNDUP(D109*P_DOS_PCT,0),IF(N(D109)&gt;0,1,0)),IF(E109="Ausência de risco",0,IF(OR(D109="",N(D109)&gt;0),1,0))))</f>
        <v/>
      </c>
      <c r="H109" s="148" t="n"/>
      <c r="I109" s="155">
        <f>IF(E109="","",IF(H109&lt;&gt;"",H109,G109))</f>
        <v/>
      </c>
      <c r="J109" s="156">
        <f>IF(E109="","",IF(E109="Químico (laboratório)",IFERROR(INDEX(EX_VALOR,MATCH(F109,EX_NOMES,0)),0),IF(E109="Avaliação qualitativa",IF(SUMIFS($I$12:$I$111,$E$12:$E$111,"Avaliação qualitativa")&gt;1,P_QUAL_VARIAS,P_QUAL_UNICA),IFERROR(INDEX(T_FIXO,MATCH(E109,T_TIPOS,0)),0))))</f>
        <v/>
      </c>
      <c r="K109" s="156">
        <f>IF(E109="","",I109*J109)</f>
        <v/>
      </c>
      <c r="L109" s="280">
        <f>IF(E109="","",I109*IFERROR(INDEX(T_HORAS,MATCH(E109,T_TIPOS,0)),0))</f>
        <v/>
      </c>
      <c r="M109" s="155">
        <f>IF(E109="","",I109*P_FOLHAS_AV)</f>
        <v/>
      </c>
      <c r="N109" s="148" t="n"/>
      <c r="O109" s="158">
        <f>IF(AND(E109="Químico (laboratório)",F109&lt;&gt;"",COUNTIFS($F$12:F109,F109,$E$12:E109,"Químico (laboratório)")=1),MAX($O$11:O108)+1,"")</f>
        <v/>
      </c>
      <c r="P109" s="159">
        <f>IF(E109="","",IF(IFERROR(INDEX(T_PORDIA,MATCH(E109,T_TIPOS,0)),0)&gt;0,I109/INDEX(T_PORDIA,MATCH(E109,T_TIPOS,0)),0))</f>
        <v/>
      </c>
    </row>
    <row r="110">
      <c r="A110" s="155">
        <f>IF(E110="","",ROW()-11)</f>
        <v/>
      </c>
      <c r="B110" s="148" t="n"/>
      <c r="C110" s="148" t="n"/>
      <c r="D110" s="148" t="n"/>
      <c r="E110" s="148" t="n"/>
      <c r="F110" s="148" t="n"/>
      <c r="G110" s="155">
        <f>IF(E110="","",IF(E110="Ruído (dosimetria)",IF(D110&gt;P_DOS_LIM,ROUNDUP(D110*P_DOS_PCT,0),IF(N(D110)&gt;0,1,0)),IF(E110="Ausência de risco",0,IF(OR(D110="",N(D110)&gt;0),1,0))))</f>
        <v/>
      </c>
      <c r="H110" s="148" t="n"/>
      <c r="I110" s="155">
        <f>IF(E110="","",IF(H110&lt;&gt;"",H110,G110))</f>
        <v/>
      </c>
      <c r="J110" s="156">
        <f>IF(E110="","",IF(E110="Químico (laboratório)",IFERROR(INDEX(EX_VALOR,MATCH(F110,EX_NOMES,0)),0),IF(E110="Avaliação qualitativa",IF(SUMIFS($I$12:$I$111,$E$12:$E$111,"Avaliação qualitativa")&gt;1,P_QUAL_VARIAS,P_QUAL_UNICA),IFERROR(INDEX(T_FIXO,MATCH(E110,T_TIPOS,0)),0))))</f>
        <v/>
      </c>
      <c r="K110" s="156">
        <f>IF(E110="","",I110*J110)</f>
        <v/>
      </c>
      <c r="L110" s="280">
        <f>IF(E110="","",I110*IFERROR(INDEX(T_HORAS,MATCH(E110,T_TIPOS,0)),0))</f>
        <v/>
      </c>
      <c r="M110" s="155">
        <f>IF(E110="","",I110*P_FOLHAS_AV)</f>
        <v/>
      </c>
      <c r="N110" s="148" t="n"/>
      <c r="O110" s="158">
        <f>IF(AND(E110="Químico (laboratório)",F110&lt;&gt;"",COUNTIFS($F$12:F110,F110,$E$12:E110,"Químico (laboratório)")=1),MAX($O$11:O109)+1,"")</f>
        <v/>
      </c>
      <c r="P110" s="159">
        <f>IF(E110="","",IF(IFERROR(INDEX(T_PORDIA,MATCH(E110,T_TIPOS,0)),0)&gt;0,I110/INDEX(T_PORDIA,MATCH(E110,T_TIPOS,0)),0))</f>
        <v/>
      </c>
    </row>
    <row r="111">
      <c r="A111" s="155">
        <f>IF(E111="","",ROW()-11)</f>
        <v/>
      </c>
      <c r="B111" s="148" t="n"/>
      <c r="C111" s="148" t="n"/>
      <c r="D111" s="148" t="n"/>
      <c r="E111" s="148" t="n"/>
      <c r="F111" s="148" t="n"/>
      <c r="G111" s="155">
        <f>IF(E111="","",IF(E111="Ruído (dosimetria)",IF(D111&gt;P_DOS_LIM,ROUNDUP(D111*P_DOS_PCT,0),IF(N(D111)&gt;0,1,0)),IF(E111="Ausência de risco",0,IF(OR(D111="",N(D111)&gt;0),1,0))))</f>
        <v/>
      </c>
      <c r="H111" s="148" t="n"/>
      <c r="I111" s="155">
        <f>IF(E111="","",IF(H111&lt;&gt;"",H111,G111))</f>
        <v/>
      </c>
      <c r="J111" s="156">
        <f>IF(E111="","",IF(E111="Químico (laboratório)",IFERROR(INDEX(EX_VALOR,MATCH(F111,EX_NOMES,0)),0),IF(E111="Avaliação qualitativa",IF(SUMIFS($I$12:$I$111,$E$12:$E$111,"Avaliação qualitativa")&gt;1,P_QUAL_VARIAS,P_QUAL_UNICA),IFERROR(INDEX(T_FIXO,MATCH(E111,T_TIPOS,0)),0))))</f>
        <v/>
      </c>
      <c r="K111" s="156">
        <f>IF(E111="","",I111*J111)</f>
        <v/>
      </c>
      <c r="L111" s="280">
        <f>IF(E111="","",I111*IFERROR(INDEX(T_HORAS,MATCH(E111,T_TIPOS,0)),0))</f>
        <v/>
      </c>
      <c r="M111" s="155">
        <f>IF(E111="","",I111*P_FOLHAS_AV)</f>
        <v/>
      </c>
      <c r="N111" s="148" t="n"/>
      <c r="O111" s="158">
        <f>IF(AND(E111="Químico (laboratório)",F111&lt;&gt;"",COUNTIFS($F$12:F111,F111,$E$12:E111,"Químico (laboratório)")=1),MAX($O$11:O110)+1,"")</f>
        <v/>
      </c>
      <c r="P111" s="159">
        <f>IF(E111="","",IF(IFERROR(INDEX(T_PORDIA,MATCH(E111,T_TIPOS,0)),0)&gt;0,I111/INDEX(T_PORDIA,MATCH(E111,T_TIPOS,0)),0))</f>
        <v/>
      </c>
    </row>
    <row r="112"/>
    <row r="113">
      <c r="A113" s="146" t="inlineStr">
        <is>
          <t>Como preencher: uma linha por GHE x agente. Para químico de laboratório escolha o exame na lista (nome igual ao da Tabela de Exames). Para radiação, frio, umidade, biológico e químicos sem exame use "Avaliação qualitativa". GHE sem risco: "Ausência de risco" (não gera custo). "Qtd ajustada" sobrepõe a sugerida.</t>
        </is>
      </c>
    </row>
  </sheetData>
  <mergeCells count="16">
    <mergeCell ref="D8:E8"/>
    <mergeCell ref="D6:E6"/>
    <mergeCell ref="B6:C6"/>
    <mergeCell ref="D7:E7"/>
    <mergeCell ref="B7:C7"/>
    <mergeCell ref="D10:E10"/>
    <mergeCell ref="B3:C3"/>
    <mergeCell ref="B5:C5"/>
    <mergeCell ref="D3:E3"/>
    <mergeCell ref="B10:C10"/>
    <mergeCell ref="D5:E5"/>
    <mergeCell ref="D4:E4"/>
    <mergeCell ref="B9:C9"/>
    <mergeCell ref="D9:E9"/>
    <mergeCell ref="B8:C8"/>
    <mergeCell ref="B4:C4"/>
  </mergeCells>
  <dataValidations count="3">
    <dataValidation sqref="E12:E111" showDropDown="0" showInputMessage="0" showErrorMessage="0" allowBlank="1" errorTitle="Tipo de avaliação" error="Escolha um tipo da lista (aba Parâmetros)." type="list">
      <formula1>=T_TIPOS</formula1>
    </dataValidation>
    <dataValidation sqref="F12:F111" showDropDown="0" showInputMessage="0" showErrorMessage="0" allowBlank="1" type="list">
      <formula1>=EX_NOMES</formula1>
    </dataValidation>
    <dataValidation sqref="B7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1796875" defaultRowHeight="12.75" zeroHeight="0" outlineLevelRow="0"/>
  <cols>
    <col width="3.7" customWidth="1" style="2" min="1" max="5"/>
    <col width="4.41" customWidth="1" style="2" min="6" max="6"/>
    <col width="8.279999999999999" customWidth="1" style="2" min="7" max="7"/>
    <col width="8.41" customWidth="1" style="2" min="8" max="8"/>
    <col width="5.99" customWidth="1" style="2" min="9" max="9"/>
    <col width="4.99" customWidth="1" style="2" min="10" max="10"/>
    <col width="3.7" customWidth="1" style="2" min="11" max="11"/>
    <col width="3.85" customWidth="1" style="2" min="12" max="12"/>
    <col width="5.56" customWidth="1" style="2" min="13" max="13"/>
    <col width="4.28" customWidth="1" style="2" min="14" max="14"/>
    <col width="4.14" customWidth="1" style="3" min="15" max="15"/>
    <col width="5.71" customWidth="1" style="3" min="16" max="16"/>
    <col width="1.41" customWidth="1" style="3" min="17" max="17"/>
    <col width="3.7" customWidth="1" style="3" min="18" max="24"/>
    <col width="1.56" customWidth="1" style="3" min="25" max="25"/>
    <col hidden="1" width="3.7" customWidth="1" style="3" min="26" max="26"/>
    <col width="2.42" customWidth="1" style="3" min="27" max="27"/>
    <col hidden="1" width="3.7" customWidth="1" style="3" min="28" max="28"/>
    <col width="8.140000000000001" customWidth="1" style="3" min="29" max="29"/>
    <col width="3.56" customWidth="1" style="3" min="30" max="30"/>
    <col width="6.7" customWidth="1" style="3" min="31" max="31"/>
    <col width="3.7" customWidth="1" style="3" min="32" max="33"/>
    <col width="5.56" customWidth="1" style="3" min="34" max="34"/>
    <col width="5.28" customWidth="1" style="3" min="35" max="35"/>
    <col width="4.14" customWidth="1" style="3" min="36" max="36"/>
    <col width="4.7" customWidth="1" style="3" min="37" max="37"/>
    <col width="11.42" customWidth="1" style="3" min="38" max="257"/>
  </cols>
  <sheetData>
    <row r="1" ht="21.95" customFormat="1" customHeight="1" s="7">
      <c r="A1" s="4">
        <f>"SESI - DR/GOIÁS - "&amp;YEAR(IF(L_DATA="",TODAY(),L_DATA))</f>
        <v/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0" t="n"/>
      <c r="U1" s="160" t="n"/>
      <c r="V1" s="160" t="n"/>
      <c r="W1" s="160" t="n"/>
      <c r="X1" s="160" t="n"/>
      <c r="Y1" s="160" t="n"/>
      <c r="Z1" s="160" t="n"/>
      <c r="AA1" s="160" t="n"/>
      <c r="AB1" s="160" t="n"/>
      <c r="AC1" s="161" t="n"/>
      <c r="AD1" s="5" t="inlineStr">
        <is>
          <t>Responsável:</t>
        </is>
      </c>
      <c r="AE1" s="162" t="n"/>
      <c r="AF1" s="162" t="n"/>
      <c r="AG1" s="163" t="n"/>
      <c r="AH1" s="6">
        <f>L_RESP</f>
        <v/>
      </c>
      <c r="AI1" s="162" t="n"/>
      <c r="AJ1" s="162" t="n"/>
      <c r="AK1" s="164" t="n"/>
    </row>
    <row r="2" ht="18" customHeight="1" s="144">
      <c r="A2" s="8" t="inlineStr">
        <is>
          <t>Planilha de Custos: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5" t="n"/>
      <c r="L2" s="165" t="n"/>
      <c r="M2" s="166" t="n"/>
      <c r="N2" s="167">
        <f>L_TIPOLAUDO</f>
        <v/>
      </c>
      <c r="O2" s="165" t="n"/>
      <c r="P2" s="165" t="n"/>
      <c r="Q2" s="165" t="n"/>
      <c r="R2" s="165" t="n"/>
      <c r="S2" s="165" t="n"/>
      <c r="T2" s="165" t="n"/>
      <c r="U2" s="165" t="n"/>
      <c r="V2" s="165" t="n"/>
      <c r="W2" s="165" t="n"/>
      <c r="X2" s="165" t="n"/>
      <c r="Y2" s="165" t="n"/>
      <c r="Z2" s="165" t="n"/>
      <c r="AA2" s="165" t="n"/>
      <c r="AB2" s="165" t="n"/>
      <c r="AC2" s="166" t="n"/>
      <c r="AD2" s="10" t="inlineStr">
        <is>
          <t>Data:</t>
        </is>
      </c>
      <c r="AE2" s="168" t="n"/>
      <c r="AF2" s="281">
        <f>IF(L_DATA="",TODAY(),L_DATA)</f>
        <v/>
      </c>
      <c r="AG2" s="170" t="n"/>
      <c r="AH2" s="170" t="n"/>
      <c r="AI2" s="170" t="n"/>
      <c r="AJ2" s="170" t="n"/>
      <c r="AK2" s="171" t="n"/>
    </row>
    <row r="3" ht="18" customHeight="1" s="144">
      <c r="A3" s="172" t="n"/>
      <c r="B3" s="173" t="n"/>
      <c r="C3" s="173" t="n"/>
      <c r="D3" s="173" t="n"/>
      <c r="E3" s="173" t="n"/>
      <c r="F3" s="173" t="n"/>
      <c r="G3" s="173" t="n"/>
      <c r="H3" s="173" t="n"/>
      <c r="I3" s="173" t="n"/>
      <c r="J3" s="173" t="n"/>
      <c r="K3" s="173" t="n"/>
      <c r="L3" s="173" t="n"/>
      <c r="M3" s="173" t="n"/>
      <c r="N3" s="173" t="n"/>
      <c r="O3" s="173" t="n"/>
      <c r="P3" s="173" t="n"/>
      <c r="Q3" s="173" t="n"/>
      <c r="R3" s="173" t="n"/>
      <c r="S3" s="173" t="n"/>
      <c r="T3" s="173" t="n"/>
      <c r="U3" s="173" t="n"/>
      <c r="V3" s="173" t="n"/>
      <c r="W3" s="173" t="n"/>
      <c r="X3" s="173" t="n"/>
      <c r="Y3" s="173" t="n"/>
      <c r="Z3" s="173" t="n"/>
      <c r="AA3" s="173" t="n"/>
      <c r="AB3" s="173" t="n"/>
      <c r="AC3" s="174" t="n"/>
      <c r="AD3" s="175" t="n"/>
      <c r="AE3" s="174" t="n"/>
      <c r="AF3" s="176" t="n"/>
      <c r="AG3" s="177" t="n"/>
      <c r="AH3" s="177" t="n"/>
      <c r="AI3" s="177" t="n"/>
      <c r="AJ3" s="177" t="n"/>
      <c r="AK3" s="178" t="n"/>
    </row>
    <row r="4" ht="29.25" customFormat="1" customHeight="1" s="21">
      <c r="A4" s="13" t="inlineStr">
        <is>
          <t xml:space="preserve">Empresa: </t>
        </is>
      </c>
      <c r="B4" s="179" t="n"/>
      <c r="C4" s="180" t="n"/>
      <c r="D4" s="14">
        <f>L_EMPRESA&amp;IF(L_CNPJ="",""," - CNPJ "&amp;L_CNPJ)</f>
        <v/>
      </c>
      <c r="E4" s="181" t="n"/>
      <c r="F4" s="181" t="n"/>
      <c r="G4" s="181" t="n"/>
      <c r="H4" s="181" t="n"/>
      <c r="I4" s="181" t="n"/>
      <c r="J4" s="181" t="n"/>
      <c r="K4" s="181" t="n"/>
      <c r="L4" s="181" t="n"/>
      <c r="M4" s="181" t="n"/>
      <c r="N4" s="181" t="n"/>
      <c r="O4" s="181" t="n"/>
      <c r="P4" s="181" t="n"/>
      <c r="Q4" s="182" t="n"/>
      <c r="R4" s="15" t="inlineStr">
        <is>
          <t>Local:</t>
        </is>
      </c>
      <c r="S4" s="180" t="n"/>
      <c r="T4" s="16">
        <f>L_LOCAL</f>
        <v/>
      </c>
      <c r="U4" s="181" t="n"/>
      <c r="V4" s="181" t="n"/>
      <c r="W4" s="181" t="n"/>
      <c r="X4" s="181" t="n"/>
      <c r="Y4" s="181" t="n"/>
      <c r="Z4" s="183" t="n"/>
      <c r="AA4" s="17" t="inlineStr">
        <is>
          <t>Grau de Risco:</t>
        </is>
      </c>
      <c r="AB4" s="179" t="n"/>
      <c r="AC4" s="179" t="n"/>
      <c r="AD4" s="180" t="n"/>
      <c r="AE4" s="184">
        <f>IF(L_GRAU="","",L_GRAU)</f>
        <v/>
      </c>
      <c r="AF4" s="19" t="inlineStr">
        <is>
          <t>N.º empregados:</t>
        </is>
      </c>
      <c r="AG4" s="179" t="n"/>
      <c r="AH4" s="179" t="n"/>
      <c r="AI4" s="180" t="n"/>
      <c r="AJ4" s="185">
        <f>IF(L_NEMP="","",L_NEMP)</f>
        <v/>
      </c>
      <c r="AK4" s="186" t="n"/>
    </row>
    <row r="5" ht="3" customFormat="1" customHeight="1" s="21">
      <c r="A5" s="22" t="n"/>
      <c r="B5" s="23" t="n"/>
      <c r="C5" s="23" t="n"/>
      <c r="D5" s="24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5" t="n"/>
      <c r="S5" s="23" t="n"/>
      <c r="T5" s="24" t="n"/>
      <c r="U5" s="23" t="n"/>
      <c r="V5" s="23" t="n"/>
      <c r="W5" s="23" t="n"/>
      <c r="X5" s="23" t="n"/>
      <c r="Y5" s="23" t="n"/>
      <c r="Z5" s="23" t="n"/>
      <c r="AA5" s="25" t="n"/>
      <c r="AB5" s="23" t="n"/>
      <c r="AC5" s="23" t="n"/>
      <c r="AD5" s="23" t="n"/>
      <c r="AE5" s="187" t="n"/>
      <c r="AF5" s="25" t="n"/>
      <c r="AG5" s="23" t="n"/>
      <c r="AH5" s="23" t="n"/>
      <c r="AI5" s="23" t="n"/>
      <c r="AJ5" s="188" t="n"/>
      <c r="AK5" s="28" t="n"/>
    </row>
    <row r="6" ht="15" customHeight="1" s="144">
      <c r="A6" s="29" t="inlineStr">
        <is>
          <t>1 - DESPESAS COM COLABORADORES</t>
        </is>
      </c>
      <c r="B6" s="189" t="n"/>
      <c r="C6" s="189" t="n"/>
      <c r="D6" s="189" t="n"/>
      <c r="E6" s="189" t="n"/>
      <c r="F6" s="189" t="n"/>
      <c r="G6" s="189" t="n"/>
      <c r="H6" s="189" t="n"/>
      <c r="I6" s="189" t="n"/>
      <c r="J6" s="189" t="n"/>
      <c r="K6" s="189" t="n"/>
      <c r="L6" s="189" t="n"/>
      <c r="M6" s="189" t="n"/>
      <c r="N6" s="189" t="n"/>
      <c r="O6" s="189" t="n"/>
      <c r="P6" s="189" t="n"/>
      <c r="Q6" s="30" t="n"/>
      <c r="R6" s="31" t="inlineStr">
        <is>
          <t>3 - MATERIAL DE EXPEDIENTE E OUTROS</t>
        </is>
      </c>
      <c r="S6" s="189" t="n"/>
      <c r="T6" s="189" t="n"/>
      <c r="U6" s="189" t="n"/>
      <c r="V6" s="189" t="n"/>
      <c r="W6" s="189" t="n"/>
      <c r="X6" s="189" t="n"/>
      <c r="Y6" s="189" t="n"/>
      <c r="Z6" s="189" t="n"/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90" t="n"/>
    </row>
    <row r="7" ht="15" customHeight="1" s="144">
      <c r="A7" s="32" t="inlineStr">
        <is>
          <t>Levantamento de Dados</t>
        </is>
      </c>
      <c r="B7" s="191" t="n"/>
      <c r="C7" s="191" t="n"/>
      <c r="D7" s="191" t="n"/>
      <c r="E7" s="191" t="n"/>
      <c r="F7" s="191" t="n"/>
      <c r="G7" s="192" t="n"/>
      <c r="H7" s="33" t="inlineStr">
        <is>
          <t>N.º de Dias</t>
        </is>
      </c>
      <c r="I7" s="191" t="n"/>
      <c r="J7" s="192" t="n"/>
      <c r="K7" s="33" t="inlineStr">
        <is>
          <t>Custo/dia</t>
        </is>
      </c>
      <c r="L7" s="191" t="n"/>
      <c r="M7" s="192" t="n"/>
      <c r="N7" s="34" t="inlineStr">
        <is>
          <t>Total</t>
        </is>
      </c>
      <c r="O7" s="191" t="n"/>
      <c r="P7" s="193" t="n"/>
      <c r="Q7" s="35" t="n"/>
      <c r="R7" s="36" t="inlineStr">
        <is>
          <t>Especificação</t>
        </is>
      </c>
      <c r="S7" s="191" t="n"/>
      <c r="T7" s="191" t="n"/>
      <c r="U7" s="191" t="n"/>
      <c r="V7" s="191" t="n"/>
      <c r="W7" s="191" t="n"/>
      <c r="X7" s="191" t="n"/>
      <c r="Y7" s="191" t="n"/>
      <c r="Z7" s="191" t="n"/>
      <c r="AA7" s="191" t="n"/>
      <c r="AB7" s="192" t="n"/>
      <c r="AC7" s="33" t="inlineStr">
        <is>
          <t>Quant.</t>
        </is>
      </c>
      <c r="AD7" s="191" t="n"/>
      <c r="AE7" s="192" t="n"/>
      <c r="AF7" s="33" t="inlineStr">
        <is>
          <t>Valor Unit.</t>
        </is>
      </c>
      <c r="AG7" s="191" t="n"/>
      <c r="AH7" s="192" t="n"/>
      <c r="AI7" s="37" t="inlineStr">
        <is>
          <t>Total</t>
        </is>
      </c>
      <c r="AJ7" s="191" t="n"/>
      <c r="AK7" s="194" t="n"/>
    </row>
    <row r="8" ht="15" customHeight="1" s="144">
      <c r="A8" s="38" t="inlineStr">
        <is>
          <t>Diária Completa</t>
        </is>
      </c>
      <c r="B8" s="173" t="n"/>
      <c r="C8" s="173" t="n"/>
      <c r="D8" s="173" t="n"/>
      <c r="E8" s="173" t="n"/>
      <c r="F8" s="173" t="n"/>
      <c r="G8" s="174" t="n"/>
      <c r="H8" s="195">
        <f>IF(L_PERNOITE="Sim",L_DIAS,0)</f>
        <v/>
      </c>
      <c r="I8" s="173" t="n"/>
      <c r="J8" s="174" t="n"/>
      <c r="K8" s="196">
        <f>P_DIARIA</f>
        <v/>
      </c>
      <c r="L8" s="173" t="n"/>
      <c r="M8" s="174" t="n"/>
      <c r="N8" s="197">
        <f>H8*K8</f>
        <v/>
      </c>
      <c r="O8" s="173" t="n"/>
      <c r="P8" s="198" t="n"/>
      <c r="Q8" s="30" t="n"/>
      <c r="R8" s="42" t="inlineStr">
        <is>
          <t>ART - CREA</t>
        </is>
      </c>
      <c r="S8" s="165" t="n"/>
      <c r="T8" s="165" t="n"/>
      <c r="U8" s="165" t="n"/>
      <c r="V8" s="165" t="n"/>
      <c r="W8" s="165" t="n"/>
      <c r="X8" s="165" t="n"/>
      <c r="Y8" s="165" t="n"/>
      <c r="Z8" s="165" t="n"/>
      <c r="AA8" s="165" t="n"/>
      <c r="AB8" s="166" t="n"/>
      <c r="AC8" s="199" t="n">
        <v>1</v>
      </c>
      <c r="AD8" s="173" t="n"/>
      <c r="AE8" s="174" t="n"/>
      <c r="AF8" s="200">
        <f>P_ART</f>
        <v/>
      </c>
      <c r="AG8" s="173" t="n"/>
      <c r="AH8" s="174" t="n"/>
      <c r="AI8" s="201">
        <f>AC8*AF8</f>
        <v/>
      </c>
      <c r="AJ8" s="173" t="n"/>
      <c r="AK8" s="202" t="n"/>
    </row>
    <row r="9" ht="15" customHeight="1" s="144">
      <c r="A9" s="46" t="inlineStr">
        <is>
          <t>Meia Diária</t>
        </is>
      </c>
      <c r="B9" s="203" t="n"/>
      <c r="C9" s="203" t="n"/>
      <c r="D9" s="203" t="n"/>
      <c r="E9" s="203" t="n"/>
      <c r="F9" s="203" t="n"/>
      <c r="G9" s="204" t="n"/>
      <c r="H9" s="205">
        <f>IF(AND(L_PERNOITE&lt;&gt;"Sim",L_DIST&gt;P_DIST_DIARIA),L_DIAS,0)</f>
        <v/>
      </c>
      <c r="I9" s="203" t="n"/>
      <c r="J9" s="204" t="n"/>
      <c r="K9" s="206">
        <f>P_MEIA_DIARIA</f>
        <v/>
      </c>
      <c r="L9" s="203" t="n"/>
      <c r="M9" s="204" t="n"/>
      <c r="N9" s="197">
        <f>H9*K9</f>
        <v/>
      </c>
      <c r="O9" s="173" t="n"/>
      <c r="P9" s="198" t="n"/>
      <c r="Q9" s="30" t="n"/>
      <c r="R9" s="42" t="inlineStr">
        <is>
          <t>Postagem para Amostra</t>
        </is>
      </c>
      <c r="S9" s="165" t="n"/>
      <c r="T9" s="165" t="n"/>
      <c r="U9" s="165" t="n"/>
      <c r="V9" s="165" t="n"/>
      <c r="W9" s="165" t="n"/>
      <c r="X9" s="165" t="n"/>
      <c r="Y9" s="165" t="n"/>
      <c r="Z9" s="165" t="n"/>
      <c r="AA9" s="165" t="n"/>
      <c r="AB9" s="166" t="n"/>
      <c r="AC9" s="207">
        <f>IF(SUMIFS(Levantamento!$I$12:$I$111,Levantamento!$E$12:$E$111,"Químico (laboratório)")&gt;0,2,0)</f>
        <v/>
      </c>
      <c r="AD9" s="165" t="n"/>
      <c r="AE9" s="166" t="n"/>
      <c r="AF9" s="208">
        <f>P_POSTAGEM</f>
        <v/>
      </c>
      <c r="AG9" s="165" t="n"/>
      <c r="AH9" s="166" t="n"/>
      <c r="AI9" s="209">
        <f>AC9*AF9</f>
        <v/>
      </c>
      <c r="AJ9" s="165" t="n"/>
      <c r="AK9" s="210" t="n"/>
    </row>
    <row r="10" ht="15" customHeight="1" s="144">
      <c r="A10" s="52" t="n"/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36" t="inlineStr">
        <is>
          <t>Custos (1)</t>
        </is>
      </c>
      <c r="L10" s="191" t="n"/>
      <c r="M10" s="192" t="n"/>
      <c r="N10" s="211">
        <f>SUM(N8:P9)</f>
        <v/>
      </c>
      <c r="O10" s="191" t="n"/>
      <c r="P10" s="193" t="n"/>
      <c r="Q10" s="30" t="n"/>
      <c r="R10" s="42" t="inlineStr">
        <is>
          <t>Material administrativo (folha de papel + impressão)</t>
        </is>
      </c>
      <c r="S10" s="165" t="n"/>
      <c r="T10" s="165" t="n"/>
      <c r="U10" s="165" t="n"/>
      <c r="V10" s="165" t="n"/>
      <c r="W10" s="165" t="n"/>
      <c r="X10" s="165" t="n"/>
      <c r="Y10" s="165" t="n"/>
      <c r="Z10" s="165" t="n"/>
      <c r="AA10" s="165" t="n"/>
      <c r="AB10" s="166" t="n"/>
      <c r="AC10" s="207">
        <f>SUM(Levantamento!M12:M111)</f>
        <v/>
      </c>
      <c r="AD10" s="165" t="n"/>
      <c r="AE10" s="166" t="n"/>
      <c r="AF10" s="208">
        <f>P_FOLHA</f>
        <v/>
      </c>
      <c r="AG10" s="165" t="n"/>
      <c r="AH10" s="166" t="n"/>
      <c r="AI10" s="209">
        <f>AC10*AF10</f>
        <v/>
      </c>
      <c r="AJ10" s="165" t="n"/>
      <c r="AK10" s="210" t="n"/>
    </row>
    <row r="11" ht="15" customHeight="1" s="144">
      <c r="A11" s="54" t="n"/>
      <c r="B11" s="189" t="n"/>
      <c r="C11" s="189" t="n"/>
      <c r="D11" s="189" t="n"/>
      <c r="E11" s="189" t="n"/>
      <c r="F11" s="189" t="n"/>
      <c r="G11" s="189" t="n"/>
      <c r="H11" s="189" t="n"/>
      <c r="I11" s="189" t="n"/>
      <c r="J11" s="189" t="n"/>
      <c r="K11" s="189" t="n"/>
      <c r="L11" s="189" t="n"/>
      <c r="M11" s="189" t="n"/>
      <c r="N11" s="189" t="n"/>
      <c r="O11" s="189" t="n"/>
      <c r="P11" s="189" t="n"/>
      <c r="Q11" s="55" t="n"/>
      <c r="R11" s="56" t="n"/>
      <c r="S11" s="212" t="n"/>
      <c r="T11" s="212" t="n"/>
      <c r="U11" s="212" t="n"/>
      <c r="V11" s="212" t="n"/>
      <c r="W11" s="212" t="n"/>
      <c r="X11" s="212" t="n"/>
      <c r="Y11" s="212" t="n"/>
      <c r="Z11" s="212" t="n"/>
      <c r="AA11" s="212" t="n"/>
      <c r="AB11" s="212" t="n"/>
      <c r="AC11" s="212" t="n"/>
      <c r="AD11" s="212" t="n"/>
      <c r="AE11" s="213" t="n"/>
      <c r="AF11" s="57" t="inlineStr">
        <is>
          <t>Custos (6)</t>
        </is>
      </c>
      <c r="AG11" s="191" t="n"/>
      <c r="AH11" s="191" t="n"/>
      <c r="AI11" s="214">
        <f>SUM(AI8:AK10)</f>
        <v/>
      </c>
      <c r="AJ11" s="191" t="n"/>
      <c r="AK11" s="194" t="n"/>
    </row>
    <row r="12" ht="15" customHeight="1" s="144">
      <c r="A12" s="32" t="inlineStr">
        <is>
          <t>Levantamento de Dados</t>
        </is>
      </c>
      <c r="B12" s="191" t="n"/>
      <c r="C12" s="191" t="n"/>
      <c r="D12" s="191" t="n"/>
      <c r="E12" s="191" t="n"/>
      <c r="F12" s="191" t="n"/>
      <c r="G12" s="192" t="n"/>
      <c r="H12" s="33" t="inlineStr">
        <is>
          <t>N.º de Horas Totais</t>
        </is>
      </c>
      <c r="I12" s="191" t="n"/>
      <c r="J12" s="192" t="n"/>
      <c r="K12" s="215" t="inlineStr">
        <is>
          <t>Custo/hora</t>
        </is>
      </c>
      <c r="L12" s="191" t="n"/>
      <c r="M12" s="192" t="n"/>
      <c r="N12" s="34" t="inlineStr">
        <is>
          <t>Total</t>
        </is>
      </c>
      <c r="O12" s="191" t="n"/>
      <c r="P12" s="193" t="n"/>
      <c r="Q12" s="35" t="n"/>
      <c r="R12" s="60" t="n"/>
      <c r="S12" s="177" t="n"/>
      <c r="T12" s="177" t="n"/>
      <c r="U12" s="177" t="n"/>
      <c r="V12" s="177" t="n"/>
      <c r="W12" s="177" t="n"/>
      <c r="X12" s="177" t="n"/>
      <c r="Y12" s="177" t="n"/>
      <c r="Z12" s="177" t="n"/>
      <c r="AA12" s="177" t="n"/>
      <c r="AB12" s="177" t="n"/>
      <c r="AC12" s="216" t="n"/>
      <c r="AD12" s="177" t="n"/>
      <c r="AE12" s="177" t="n"/>
      <c r="AF12" s="217" t="n"/>
      <c r="AG12" s="170" t="n"/>
      <c r="AH12" s="170" t="n"/>
      <c r="AI12" s="218" t="n"/>
      <c r="AJ12" s="170" t="n"/>
      <c r="AK12" s="171" t="n"/>
    </row>
    <row r="13" ht="15" customHeight="1" s="144">
      <c r="A13" s="38" t="inlineStr">
        <is>
          <t>Levantamento de Dados Engenheiro</t>
        </is>
      </c>
      <c r="B13" s="173" t="n"/>
      <c r="C13" s="173" t="n"/>
      <c r="D13" s="173" t="n"/>
      <c r="E13" s="173" t="n"/>
      <c r="F13" s="173" t="n"/>
      <c r="G13" s="174" t="n"/>
      <c r="H13" s="219" t="n">
        <v>0</v>
      </c>
      <c r="I13" s="173" t="n"/>
      <c r="J13" s="174" t="n"/>
      <c r="K13" s="196">
        <f>P_H_ENG</f>
        <v/>
      </c>
      <c r="L13" s="173" t="n"/>
      <c r="M13" s="174" t="n"/>
      <c r="N13" s="197">
        <f>K13*H13</f>
        <v/>
      </c>
      <c r="O13" s="173" t="n"/>
      <c r="P13" s="198" t="n"/>
      <c r="Q13" s="65" t="n"/>
      <c r="R13" s="66" t="inlineStr">
        <is>
          <t>4 - OUTROS TIPOS DE SERVIÇOS</t>
        </is>
      </c>
      <c r="S13" s="189" t="n"/>
      <c r="T13" s="189" t="n"/>
      <c r="U13" s="189" t="n"/>
      <c r="V13" s="189" t="n"/>
      <c r="W13" s="189" t="n"/>
      <c r="X13" s="189" t="n"/>
      <c r="Y13" s="189" t="n"/>
      <c r="Z13" s="189" t="n"/>
      <c r="AA13" s="189" t="n"/>
      <c r="AB13" s="189" t="n"/>
      <c r="AC13" s="189" t="n"/>
      <c r="AD13" s="189" t="n"/>
      <c r="AE13" s="189" t="n"/>
      <c r="AF13" s="189" t="n"/>
      <c r="AG13" s="189" t="n"/>
      <c r="AH13" s="189" t="n"/>
      <c r="AI13" s="189" t="n"/>
      <c r="AJ13" s="189" t="n"/>
      <c r="AK13" s="190" t="n"/>
    </row>
    <row r="14" ht="15" customHeight="1" s="144">
      <c r="A14" s="67" t="inlineStr">
        <is>
          <t>Levantamento de Dados Tec. Segurança</t>
        </is>
      </c>
      <c r="B14" s="165" t="n"/>
      <c r="C14" s="165" t="n"/>
      <c r="D14" s="165" t="n"/>
      <c r="E14" s="165" t="n"/>
      <c r="F14" s="165" t="n"/>
      <c r="G14" s="166" t="n"/>
      <c r="H14" s="220">
        <f>SUM(Levantamento!L12:L111)</f>
        <v/>
      </c>
      <c r="I14" s="165" t="n"/>
      <c r="J14" s="166" t="n"/>
      <c r="K14" s="196">
        <f>P_H_TST</f>
        <v/>
      </c>
      <c r="L14" s="173" t="n"/>
      <c r="M14" s="174" t="n"/>
      <c r="N14" s="197">
        <f>K14*H14</f>
        <v/>
      </c>
      <c r="O14" s="173" t="n"/>
      <c r="P14" s="198" t="n"/>
      <c r="Q14" s="65" t="n"/>
      <c r="R14" s="36" t="inlineStr">
        <is>
          <t>Descrição</t>
        </is>
      </c>
      <c r="S14" s="191" t="n"/>
      <c r="T14" s="191" t="n"/>
      <c r="U14" s="191" t="n"/>
      <c r="V14" s="191" t="n"/>
      <c r="W14" s="191" t="n"/>
      <c r="X14" s="191" t="n"/>
      <c r="Y14" s="191" t="n"/>
      <c r="Z14" s="191" t="n"/>
      <c r="AA14" s="191" t="n"/>
      <c r="AB14" s="192" t="n"/>
      <c r="AC14" s="33" t="inlineStr">
        <is>
          <t>Quantidade</t>
        </is>
      </c>
      <c r="AD14" s="191" t="n"/>
      <c r="AE14" s="192" t="n"/>
      <c r="AF14" s="33" t="inlineStr">
        <is>
          <t>Valor Unit.</t>
        </is>
      </c>
      <c r="AG14" s="191" t="n"/>
      <c r="AH14" s="192" t="n"/>
      <c r="AI14" s="37" t="inlineStr">
        <is>
          <t>Valor Total</t>
        </is>
      </c>
      <c r="AJ14" s="191" t="n"/>
      <c r="AK14" s="194" t="n"/>
    </row>
    <row r="15" ht="15" customHeight="1" s="144">
      <c r="A15" s="67" t="inlineStr">
        <is>
          <t>Lançamento de Dados Tec. Segurança</t>
        </is>
      </c>
      <c r="B15" s="165" t="n"/>
      <c r="C15" s="165" t="n"/>
      <c r="D15" s="165" t="n"/>
      <c r="E15" s="165" t="n"/>
      <c r="F15" s="165" t="n"/>
      <c r="G15" s="166" t="n"/>
      <c r="H15" s="220">
        <f>MAX(P_LANC_MIN,L_TOTAL_AV*P_LANC_H)</f>
        <v/>
      </c>
      <c r="I15" s="165" t="n"/>
      <c r="J15" s="166" t="n"/>
      <c r="K15" s="196">
        <f>P_H_TST</f>
        <v/>
      </c>
      <c r="L15" s="173" t="n"/>
      <c r="M15" s="174" t="n"/>
      <c r="N15" s="197">
        <f>K15*H15</f>
        <v/>
      </c>
      <c r="O15" s="173" t="n"/>
      <c r="P15" s="198" t="n"/>
      <c r="Q15" s="65" t="n"/>
      <c r="R15" s="69" t="inlineStr">
        <is>
          <t>Dosimetria de ruído</t>
        </is>
      </c>
      <c r="S15" s="173" t="n"/>
      <c r="T15" s="173" t="n"/>
      <c r="U15" s="173" t="n"/>
      <c r="V15" s="173" t="n"/>
      <c r="W15" s="173" t="n"/>
      <c r="X15" s="173" t="n"/>
      <c r="Y15" s="173" t="n"/>
      <c r="Z15" s="173" t="n"/>
      <c r="AA15" s="173" t="n"/>
      <c r="AB15" s="174" t="n"/>
      <c r="AC15" s="221">
        <f>SUMIFS(Levantamento!$I$12:$I$111,Levantamento!$E$12:$E$111,"Ruído (dosimetria)")</f>
        <v/>
      </c>
      <c r="AD15" s="173" t="n"/>
      <c r="AE15" s="174" t="n"/>
      <c r="AF15" s="222">
        <f>IFERROR(INDEX(T_FIXO,MATCH("Ruído (dosimetria)",T_TIPOS,0)),0)</f>
        <v/>
      </c>
      <c r="AG15" s="173" t="n"/>
      <c r="AH15" s="174" t="n"/>
      <c r="AI15" s="223">
        <f>AC15*AF15</f>
        <v/>
      </c>
      <c r="AJ15" s="173" t="n"/>
      <c r="AK15" s="202" t="n"/>
    </row>
    <row r="16" ht="15" customHeight="1" s="144">
      <c r="A16" s="73" t="inlineStr">
        <is>
          <t>Revisão de Relatório Engenheiro</t>
        </is>
      </c>
      <c r="B16" s="170" t="n"/>
      <c r="C16" s="170" t="n"/>
      <c r="D16" s="170" t="n"/>
      <c r="E16" s="170" t="n"/>
      <c r="F16" s="170" t="n"/>
      <c r="G16" s="168" t="n"/>
      <c r="H16" s="220">
        <f>P_REV_H</f>
        <v/>
      </c>
      <c r="I16" s="165" t="n"/>
      <c r="J16" s="166" t="n"/>
      <c r="K16" s="196">
        <f>P_H_ENG</f>
        <v/>
      </c>
      <c r="L16" s="173" t="n"/>
      <c r="M16" s="174" t="n"/>
      <c r="N16" s="197">
        <f>K16*H16</f>
        <v/>
      </c>
      <c r="O16" s="173" t="n"/>
      <c r="P16" s="198" t="n"/>
      <c r="Q16" s="74" t="n"/>
      <c r="R16" s="75" t="inlineStr">
        <is>
          <t>Avaliação de calor (IBUTG)</t>
        </is>
      </c>
      <c r="S16" s="173" t="n"/>
      <c r="T16" s="173" t="n"/>
      <c r="U16" s="173" t="n"/>
      <c r="V16" s="173" t="n"/>
      <c r="W16" s="173" t="n"/>
      <c r="X16" s="173" t="n"/>
      <c r="Y16" s="173" t="n"/>
      <c r="Z16" s="173" t="n"/>
      <c r="AA16" s="173" t="n"/>
      <c r="AB16" s="174" t="n"/>
      <c r="AC16" s="221">
        <f>SUMIFS(Levantamento!$I$12:$I$111,Levantamento!$E$12:$E$111,"Calor (IBUTG)")</f>
        <v/>
      </c>
      <c r="AD16" s="173" t="n"/>
      <c r="AE16" s="174" t="n"/>
      <c r="AF16" s="222">
        <f>IFERROR(INDEX(T_FIXO,MATCH("Calor (IBUTG)",T_TIPOS,0)),0)</f>
        <v/>
      </c>
      <c r="AG16" s="173" t="n"/>
      <c r="AH16" s="174" t="n"/>
      <c r="AI16" s="223">
        <f>AC16*AF16</f>
        <v/>
      </c>
      <c r="AJ16" s="173" t="n"/>
      <c r="AK16" s="202" t="n"/>
    </row>
    <row r="17" ht="15" customHeight="1" s="144">
      <c r="A17" s="46" t="inlineStr">
        <is>
          <t>Entrega de Relatório Engenheiro</t>
        </is>
      </c>
      <c r="B17" s="203" t="n"/>
      <c r="C17" s="203" t="n"/>
      <c r="D17" s="203" t="n"/>
      <c r="E17" s="203" t="n"/>
      <c r="F17" s="203" t="n"/>
      <c r="G17" s="204" t="n"/>
      <c r="H17" s="224">
        <f>P_ENT_H</f>
        <v/>
      </c>
      <c r="I17" s="203" t="n"/>
      <c r="J17" s="204" t="n"/>
      <c r="K17" s="196">
        <f>P_H_ENG</f>
        <v/>
      </c>
      <c r="L17" s="173" t="n"/>
      <c r="M17" s="174" t="n"/>
      <c r="N17" s="225">
        <f>H17*K17</f>
        <v/>
      </c>
      <c r="O17" s="177" t="n"/>
      <c r="P17" s="226" t="n"/>
      <c r="Q17" s="35" t="n"/>
      <c r="R17" s="78" t="inlineStr">
        <is>
          <t>Vibração de corpo inteiro</t>
        </is>
      </c>
      <c r="S17" s="173" t="n"/>
      <c r="T17" s="173" t="n"/>
      <c r="U17" s="173" t="n"/>
      <c r="V17" s="173" t="n"/>
      <c r="W17" s="173" t="n"/>
      <c r="X17" s="173" t="n"/>
      <c r="Y17" s="173" t="n"/>
      <c r="Z17" s="173" t="n"/>
      <c r="AA17" s="173" t="n"/>
      <c r="AB17" s="174" t="n"/>
      <c r="AC17" s="221">
        <f>SUMIFS(Levantamento!$I$12:$I$111,Levantamento!$E$12:$E$111,"Vibração corpo inteiro")</f>
        <v/>
      </c>
      <c r="AD17" s="173" t="n"/>
      <c r="AE17" s="174" t="n"/>
      <c r="AF17" s="222">
        <f>IFERROR(INDEX(T_FIXO,MATCH("Vibração corpo inteiro",T_TIPOS,0)),0)</f>
        <v/>
      </c>
      <c r="AG17" s="173" t="n"/>
      <c r="AH17" s="174" t="n"/>
      <c r="AI17" s="223">
        <f>AC17*AF17</f>
        <v/>
      </c>
      <c r="AJ17" s="173" t="n"/>
      <c r="AK17" s="202" t="n"/>
    </row>
    <row r="18" ht="15" customHeight="1" s="144">
      <c r="A18" s="79" t="n"/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3" t="n"/>
      <c r="K18" s="227" t="inlineStr">
        <is>
          <t>Custos (2)</t>
        </is>
      </c>
      <c r="L18" s="191" t="n"/>
      <c r="M18" s="192" t="n"/>
      <c r="N18" s="228">
        <f>SUM(N13:P17)</f>
        <v/>
      </c>
      <c r="O18" s="191" t="n"/>
      <c r="P18" s="193" t="n"/>
      <c r="Q18" s="65" t="n"/>
      <c r="R18" s="82" t="inlineStr">
        <is>
          <t>Vibração de mãos e braços</t>
        </is>
      </c>
      <c r="S18" s="165" t="n"/>
      <c r="T18" s="165" t="n"/>
      <c r="U18" s="165" t="n"/>
      <c r="V18" s="165" t="n"/>
      <c r="W18" s="165" t="n"/>
      <c r="X18" s="165" t="n"/>
      <c r="Y18" s="165" t="n"/>
      <c r="Z18" s="165" t="n"/>
      <c r="AA18" s="165" t="n"/>
      <c r="AB18" s="166" t="n"/>
      <c r="AC18" s="221">
        <f>SUMIFS(Levantamento!$I$12:$I$111,Levantamento!$E$12:$E$111,"Vibração mãos e braços")</f>
        <v/>
      </c>
      <c r="AD18" s="173" t="n"/>
      <c r="AE18" s="174" t="n"/>
      <c r="AF18" s="222">
        <f>IFERROR(INDEX(T_FIXO,MATCH("Vibração mãos e braços",T_TIPOS,0)),0)</f>
        <v/>
      </c>
      <c r="AG18" s="173" t="n"/>
      <c r="AH18" s="174" t="n"/>
      <c r="AI18" s="223">
        <f>AC18*AF18</f>
        <v/>
      </c>
      <c r="AJ18" s="173" t="n"/>
      <c r="AK18" s="202" t="n"/>
    </row>
    <row r="19" ht="15" customHeight="1" s="144">
      <c r="A19" s="83" t="n"/>
      <c r="B19" s="189" t="n"/>
      <c r="C19" s="189" t="n"/>
      <c r="D19" s="189" t="n"/>
      <c r="E19" s="189" t="n"/>
      <c r="F19" s="189" t="n"/>
      <c r="G19" s="189" t="n"/>
      <c r="H19" s="229" t="n"/>
      <c r="I19" s="189" t="n"/>
      <c r="J19" s="189" t="n"/>
      <c r="K19" s="230" t="n"/>
      <c r="L19" s="189" t="n"/>
      <c r="M19" s="189" t="n"/>
      <c r="N19" s="230" t="n"/>
      <c r="O19" s="189" t="n"/>
      <c r="P19" s="189" t="n"/>
      <c r="Q19" s="65" t="n"/>
      <c r="R19" s="82" t="inlineStr">
        <is>
          <t>Avaliação qualitativa</t>
        </is>
      </c>
      <c r="S19" s="165" t="n"/>
      <c r="T19" s="165" t="n"/>
      <c r="U19" s="165" t="n"/>
      <c r="V19" s="165" t="n"/>
      <c r="W19" s="165" t="n"/>
      <c r="X19" s="165" t="n"/>
      <c r="Y19" s="165" t="n"/>
      <c r="Z19" s="165" t="n"/>
      <c r="AA19" s="165" t="n"/>
      <c r="AB19" s="166" t="n"/>
      <c r="AC19" s="231">
        <f>SUMIFS(Levantamento!$I$12:$I$111,Levantamento!$E$12:$E$111,"Avaliação qualitativa")</f>
        <v/>
      </c>
      <c r="AD19" s="165" t="n"/>
      <c r="AE19" s="166" t="n"/>
      <c r="AF19" s="222">
        <f>IF(AC19&gt;0,SUMIFS(Levantamento!$K$12:$K$111,Levantamento!$E$12:$E$111,"Avaliação qualitativa")/AC19,0)</f>
        <v/>
      </c>
      <c r="AG19" s="173" t="n"/>
      <c r="AH19" s="174" t="n"/>
      <c r="AI19" s="223">
        <f>AC19*AF19</f>
        <v/>
      </c>
      <c r="AJ19" s="173" t="n"/>
      <c r="AK19" s="202" t="n"/>
      <c r="AM19" s="3" t="inlineStr">
        <is>
          <t xml:space="preserve">                                                                                   </t>
        </is>
      </c>
    </row>
    <row r="20" ht="15" customHeight="1" s="144">
      <c r="A20" s="32" t="inlineStr">
        <is>
          <t>Levantamento de Dados</t>
        </is>
      </c>
      <c r="B20" s="191" t="n"/>
      <c r="C20" s="191" t="n"/>
      <c r="D20" s="191" t="n"/>
      <c r="E20" s="191" t="n"/>
      <c r="F20" s="191" t="n"/>
      <c r="G20" s="192" t="n"/>
      <c r="H20" s="33" t="inlineStr">
        <is>
          <t>N.º Horas Extras (50%)</t>
        </is>
      </c>
      <c r="I20" s="191" t="n"/>
      <c r="J20" s="192" t="n"/>
      <c r="K20" s="215" t="inlineStr">
        <is>
          <t>Custo/hora</t>
        </is>
      </c>
      <c r="L20" s="191" t="n"/>
      <c r="M20" s="192" t="n"/>
      <c r="N20" s="34" t="inlineStr">
        <is>
          <t>Total</t>
        </is>
      </c>
      <c r="O20" s="191" t="n"/>
      <c r="P20" s="193" t="n"/>
      <c r="Q20" s="65" t="n"/>
      <c r="R20" s="75" t="inlineStr">
        <is>
          <t>Laudo de Periculosidade (cargos)</t>
        </is>
      </c>
      <c r="S20" s="173" t="n"/>
      <c r="T20" s="173" t="n"/>
      <c r="U20" s="173" t="n"/>
      <c r="V20" s="173" t="n"/>
      <c r="W20" s="173" t="n"/>
      <c r="X20" s="173" t="n"/>
      <c r="Y20" s="173" t="n"/>
      <c r="Z20" s="173" t="n"/>
      <c r="AA20" s="173" t="n"/>
      <c r="AB20" s="174" t="n"/>
      <c r="AC20" s="221">
        <f>SUMIFS(Levantamento!$I$12:$I$111,Levantamento!$E$12:$E$111,"Periculosidade (por cargo)")</f>
        <v/>
      </c>
      <c r="AD20" s="173" t="n"/>
      <c r="AE20" s="174" t="n"/>
      <c r="AF20" s="222">
        <f>IFERROR(INDEX(T_FIXO,MATCH("Periculosidade (por cargo)",T_TIPOS,0)),0)</f>
        <v/>
      </c>
      <c r="AG20" s="173" t="n"/>
      <c r="AH20" s="174" t="n"/>
      <c r="AI20" s="223">
        <f>AC20*AF20</f>
        <v/>
      </c>
      <c r="AJ20" s="173" t="n"/>
      <c r="AK20" s="202" t="n"/>
    </row>
    <row r="21" ht="15" customHeight="1" s="144">
      <c r="A21" s="38" t="inlineStr">
        <is>
          <t>Engenheiro</t>
        </is>
      </c>
      <c r="B21" s="173" t="n"/>
      <c r="C21" s="173" t="n"/>
      <c r="D21" s="173" t="n"/>
      <c r="E21" s="173" t="n"/>
      <c r="F21" s="173" t="n"/>
      <c r="G21" s="174" t="n"/>
      <c r="H21" s="219" t="n">
        <v>0</v>
      </c>
      <c r="I21" s="173" t="n"/>
      <c r="J21" s="174" t="n"/>
      <c r="K21" s="196">
        <f>(K13*50%)</f>
        <v/>
      </c>
      <c r="L21" s="173" t="n"/>
      <c r="M21" s="174" t="n"/>
      <c r="N21" s="197">
        <f>H21*K21</f>
        <v/>
      </c>
      <c r="O21" s="173" t="n"/>
      <c r="P21" s="198" t="n"/>
      <c r="Q21" s="65" t="n"/>
      <c r="R21" s="69">
        <f>IFERROR(INDEX(Levantamento!$F$12:$F$111,MATCH(1,Levantamento!$O$12:$O$111,0)),"")</f>
        <v/>
      </c>
      <c r="S21" s="173" t="n"/>
      <c r="T21" s="173" t="n"/>
      <c r="U21" s="173" t="n"/>
      <c r="V21" s="173" t="n"/>
      <c r="W21" s="173" t="n"/>
      <c r="X21" s="173" t="n"/>
      <c r="Y21" s="173" t="n"/>
      <c r="Z21" s="173" t="n"/>
      <c r="AA21" s="173" t="n"/>
      <c r="AB21" s="174" t="n"/>
      <c r="AC21" s="231">
        <f>IF(R21="","",SUMIFS(Levantamento!$I$12:$I$111,Levantamento!$F$12:$F$111,R21,Levantamento!$E$12:$E$111,"Químico (laboratório)"))</f>
        <v/>
      </c>
      <c r="AD21" s="165" t="n"/>
      <c r="AE21" s="166" t="n"/>
      <c r="AF21" s="222">
        <f>IF(R21="","",INDEX(Levantamento!$J$12:$J$111,MATCH(1,Levantamento!$O$12:$O$111,0)))</f>
        <v/>
      </c>
      <c r="AG21" s="173" t="n"/>
      <c r="AH21" s="174" t="n"/>
      <c r="AI21" s="223">
        <f>IF(R21="",0,AC21*AF21)</f>
        <v/>
      </c>
      <c r="AJ21" s="173" t="n"/>
      <c r="AK21" s="202" t="n"/>
    </row>
    <row r="22" ht="15" customHeight="1" s="144">
      <c r="A22" s="87" t="inlineStr">
        <is>
          <t>Técnico de Segurança</t>
        </is>
      </c>
      <c r="B22" s="203" t="n"/>
      <c r="C22" s="203" t="n"/>
      <c r="D22" s="203" t="n"/>
      <c r="E22" s="203" t="n"/>
      <c r="F22" s="203" t="n"/>
      <c r="G22" s="204" t="n"/>
      <c r="H22" s="224" t="n">
        <v>0</v>
      </c>
      <c r="I22" s="203" t="n"/>
      <c r="J22" s="204" t="n"/>
      <c r="K22" s="232">
        <f>(K14*50%)</f>
        <v/>
      </c>
      <c r="L22" s="177" t="n"/>
      <c r="M22" s="233" t="n"/>
      <c r="N22" s="225">
        <f>K22*H22</f>
        <v/>
      </c>
      <c r="O22" s="177" t="n"/>
      <c r="P22" s="226" t="n"/>
      <c r="Q22" s="65" t="n"/>
      <c r="R22" s="75">
        <f>IFERROR(INDEX(Levantamento!$F$12:$F$111,MATCH(2,Levantamento!$O$12:$O$111,0)),"")</f>
        <v/>
      </c>
      <c r="S22" s="173" t="n"/>
      <c r="T22" s="173" t="n"/>
      <c r="U22" s="173" t="n"/>
      <c r="V22" s="173" t="n"/>
      <c r="W22" s="173" t="n"/>
      <c r="X22" s="173" t="n"/>
      <c r="Y22" s="173" t="n"/>
      <c r="Z22" s="173" t="n"/>
      <c r="AA22" s="173" t="n"/>
      <c r="AB22" s="174" t="n"/>
      <c r="AC22" s="231">
        <f>IF(R22="","",SUMIFS(Levantamento!$I$12:$I$111,Levantamento!$F$12:$F$111,R22,Levantamento!$E$12:$E$111,"Químico (laboratório)"))</f>
        <v/>
      </c>
      <c r="AD22" s="165" t="n"/>
      <c r="AE22" s="166" t="n"/>
      <c r="AF22" s="200">
        <f>IF(R22="","",INDEX(Levantamento!$J$12:$J$111,MATCH(2,Levantamento!$O$12:$O$111,0)))</f>
        <v/>
      </c>
      <c r="AG22" s="173" t="n"/>
      <c r="AH22" s="174" t="n"/>
      <c r="AI22" s="223">
        <f>IF(R22="",0,AC22*AF22)</f>
        <v/>
      </c>
      <c r="AJ22" s="173" t="n"/>
      <c r="AK22" s="202" t="n"/>
    </row>
    <row r="23" ht="15" customHeight="1" s="144">
      <c r="A23" s="79" t="n"/>
      <c r="B23" s="212" t="n"/>
      <c r="C23" s="212" t="n"/>
      <c r="D23" s="212" t="n"/>
      <c r="E23" s="212" t="n"/>
      <c r="F23" s="212" t="n"/>
      <c r="G23" s="212" t="n"/>
      <c r="H23" s="212" t="n"/>
      <c r="I23" s="212" t="n"/>
      <c r="J23" s="213" t="n"/>
      <c r="K23" s="234" t="inlineStr">
        <is>
          <t>Custos (3)</t>
        </is>
      </c>
      <c r="L23" s="191" t="n"/>
      <c r="M23" s="192" t="n"/>
      <c r="N23" s="228">
        <f>SUM(N21:P22)</f>
        <v/>
      </c>
      <c r="O23" s="191" t="n"/>
      <c r="P23" s="193" t="n"/>
      <c r="Q23" s="35" t="n"/>
      <c r="R23" s="75">
        <f>IFERROR(INDEX(Levantamento!$F$12:$F$111,MATCH(3,Levantamento!$O$12:$O$111,0)),"")</f>
        <v/>
      </c>
      <c r="S23" s="173" t="n"/>
      <c r="T23" s="173" t="n"/>
      <c r="U23" s="173" t="n"/>
      <c r="V23" s="173" t="n"/>
      <c r="W23" s="173" t="n"/>
      <c r="X23" s="173" t="n"/>
      <c r="Y23" s="173" t="n"/>
      <c r="Z23" s="173" t="n"/>
      <c r="AA23" s="173" t="n"/>
      <c r="AB23" s="174" t="n"/>
      <c r="AC23" s="231">
        <f>IF(R23="","",SUMIFS(Levantamento!$I$12:$I$111,Levantamento!$F$12:$F$111,R23,Levantamento!$E$12:$E$111,"Químico (laboratório)"))</f>
        <v/>
      </c>
      <c r="AD23" s="165" t="n"/>
      <c r="AE23" s="166" t="n"/>
      <c r="AF23" s="200">
        <f>IF(R23="","",INDEX(Levantamento!$J$12:$J$111,MATCH(3,Levantamento!$O$12:$O$111,0)))</f>
        <v/>
      </c>
      <c r="AG23" s="173" t="n"/>
      <c r="AH23" s="174" t="n"/>
      <c r="AI23" s="223">
        <f>IF(R23="",0,AC23*AF23)</f>
        <v/>
      </c>
      <c r="AJ23" s="173" t="n"/>
      <c r="AK23" s="202" t="n"/>
    </row>
    <row r="24" ht="15" customHeight="1" s="144">
      <c r="A24" s="90" t="n"/>
      <c r="B24" s="189" t="n"/>
      <c r="C24" s="189" t="n"/>
      <c r="D24" s="189" t="n"/>
      <c r="E24" s="189" t="n"/>
      <c r="F24" s="189" t="n"/>
      <c r="G24" s="189" t="n"/>
      <c r="H24" s="189" t="n"/>
      <c r="I24" s="189" t="n"/>
      <c r="J24" s="189" t="n"/>
      <c r="K24" s="189" t="n"/>
      <c r="L24" s="189" t="n"/>
      <c r="M24" s="189" t="n"/>
      <c r="N24" s="189" t="n"/>
      <c r="O24" s="189" t="n"/>
      <c r="P24" s="189" t="n"/>
      <c r="Q24" s="35" t="n"/>
      <c r="R24" s="75">
        <f>IFERROR(INDEX(Levantamento!$F$12:$F$111,MATCH(4,Levantamento!$O$12:$O$111,0)),"")</f>
        <v/>
      </c>
      <c r="S24" s="173" t="n"/>
      <c r="T24" s="173" t="n"/>
      <c r="U24" s="173" t="n"/>
      <c r="V24" s="173" t="n"/>
      <c r="W24" s="173" t="n"/>
      <c r="X24" s="173" t="n"/>
      <c r="Y24" s="173" t="n"/>
      <c r="Z24" s="173" t="n"/>
      <c r="AA24" s="173" t="n"/>
      <c r="AB24" s="174" t="n"/>
      <c r="AC24" s="231">
        <f>IF(R24="","",SUMIFS(Levantamento!$I$12:$I$111,Levantamento!$F$12:$F$111,R24,Levantamento!$E$12:$E$111,"Químico (laboratório)"))</f>
        <v/>
      </c>
      <c r="AD24" s="165" t="n"/>
      <c r="AE24" s="166" t="n"/>
      <c r="AF24" s="200">
        <f>IF(R24="","",INDEX(Levantamento!$J$12:$J$111,MATCH(4,Levantamento!$O$12:$O$111,0)))</f>
        <v/>
      </c>
      <c r="AG24" s="173" t="n"/>
      <c r="AH24" s="174" t="n"/>
      <c r="AI24" s="223">
        <f>IF(R24="",0,AC24*AF24)</f>
        <v/>
      </c>
      <c r="AJ24" s="173" t="n"/>
      <c r="AK24" s="202" t="n"/>
    </row>
    <row r="25" ht="15" customHeight="1" s="144">
      <c r="A25" s="32" t="inlineStr">
        <is>
          <t>Levantamento de Dados</t>
        </is>
      </c>
      <c r="B25" s="191" t="n"/>
      <c r="C25" s="191" t="n"/>
      <c r="D25" s="191" t="n"/>
      <c r="E25" s="191" t="n"/>
      <c r="F25" s="191" t="n"/>
      <c r="G25" s="192" t="n"/>
      <c r="H25" s="33" t="inlineStr">
        <is>
          <t>N.º Horas Extras (100%)</t>
        </is>
      </c>
      <c r="I25" s="191" t="n"/>
      <c r="J25" s="192" t="n"/>
      <c r="K25" s="215" t="inlineStr">
        <is>
          <t>Custo/hora</t>
        </is>
      </c>
      <c r="L25" s="191" t="n"/>
      <c r="M25" s="192" t="n"/>
      <c r="N25" s="34" t="inlineStr">
        <is>
          <t>Total</t>
        </is>
      </c>
      <c r="O25" s="191" t="n"/>
      <c r="P25" s="193" t="n"/>
      <c r="Q25" s="235" t="n"/>
      <c r="R25" s="69">
        <f>IFERROR(INDEX(Levantamento!$F$12:$F$111,MATCH(5,Levantamento!$O$12:$O$111,0)),"")</f>
        <v/>
      </c>
      <c r="S25" s="173" t="n"/>
      <c r="T25" s="173" t="n"/>
      <c r="U25" s="173" t="n"/>
      <c r="V25" s="173" t="n"/>
      <c r="W25" s="173" t="n"/>
      <c r="X25" s="173" t="n"/>
      <c r="Y25" s="173" t="n"/>
      <c r="Z25" s="173" t="n"/>
      <c r="AA25" s="173" t="n"/>
      <c r="AB25" s="174" t="n"/>
      <c r="AC25" s="231">
        <f>IF(R25="","",SUMIFS(Levantamento!$I$12:$I$111,Levantamento!$F$12:$F$111,R25,Levantamento!$E$12:$E$111,"Químico (laboratório)"))</f>
        <v/>
      </c>
      <c r="AD25" s="165" t="n"/>
      <c r="AE25" s="166" t="n"/>
      <c r="AF25" s="200">
        <f>IF(R25="","",INDEX(Levantamento!$J$12:$J$111,MATCH(5,Levantamento!$O$12:$O$111,0)))</f>
        <v/>
      </c>
      <c r="AG25" s="173" t="n"/>
      <c r="AH25" s="174" t="n"/>
      <c r="AI25" s="223">
        <f>IF(R25="",0,AC25*AF25)</f>
        <v/>
      </c>
      <c r="AJ25" s="173" t="n"/>
      <c r="AK25" s="202" t="n"/>
    </row>
    <row r="26" ht="15" customHeight="1" s="144">
      <c r="A26" s="38" t="inlineStr">
        <is>
          <t>Engenheiro</t>
        </is>
      </c>
      <c r="B26" s="173" t="n"/>
      <c r="C26" s="173" t="n"/>
      <c r="D26" s="173" t="n"/>
      <c r="E26" s="173" t="n"/>
      <c r="F26" s="173" t="n"/>
      <c r="G26" s="174" t="n"/>
      <c r="H26" s="219" t="n">
        <v>0</v>
      </c>
      <c r="I26" s="173" t="n"/>
      <c r="J26" s="174" t="n"/>
      <c r="K26" s="196">
        <f>(K13*100%)</f>
        <v/>
      </c>
      <c r="L26" s="173" t="n"/>
      <c r="M26" s="174" t="n"/>
      <c r="N26" s="197">
        <f>H26*K26</f>
        <v/>
      </c>
      <c r="O26" s="173" t="n"/>
      <c r="P26" s="198" t="n"/>
      <c r="Q26" s="235" t="n"/>
      <c r="R26" s="69">
        <f>IFERROR(INDEX(Levantamento!$F$12:$F$111,MATCH(6,Levantamento!$O$12:$O$111,0)),"")</f>
        <v/>
      </c>
      <c r="S26" s="173" t="n"/>
      <c r="T26" s="173" t="n"/>
      <c r="U26" s="173" t="n"/>
      <c r="V26" s="173" t="n"/>
      <c r="W26" s="173" t="n"/>
      <c r="X26" s="173" t="n"/>
      <c r="Y26" s="173" t="n"/>
      <c r="Z26" s="173" t="n"/>
      <c r="AA26" s="173" t="n"/>
      <c r="AB26" s="174" t="n"/>
      <c r="AC26" s="231">
        <f>IF(R26="","",SUMIFS(Levantamento!$I$12:$I$111,Levantamento!$F$12:$F$111,R26,Levantamento!$E$12:$E$111,"Químico (laboratório)"))</f>
        <v/>
      </c>
      <c r="AD26" s="165" t="n"/>
      <c r="AE26" s="166" t="n"/>
      <c r="AF26" s="200">
        <f>IF(R26="","",INDEX(Levantamento!$J$12:$J$111,MATCH(6,Levantamento!$O$12:$O$111,0)))</f>
        <v/>
      </c>
      <c r="AG26" s="173" t="n"/>
      <c r="AH26" s="174" t="n"/>
      <c r="AI26" s="223">
        <f>IF(R26="",0,AC26*AF26)</f>
        <v/>
      </c>
      <c r="AJ26" s="173" t="n"/>
      <c r="AK26" s="202" t="n"/>
    </row>
    <row r="27" ht="15" customHeight="1" s="144">
      <c r="A27" s="67" t="inlineStr">
        <is>
          <t>Técnico de Segurança</t>
        </is>
      </c>
      <c r="B27" s="165" t="n"/>
      <c r="C27" s="165" t="n"/>
      <c r="D27" s="165" t="n"/>
      <c r="E27" s="165" t="n"/>
      <c r="F27" s="165" t="n"/>
      <c r="G27" s="166" t="n"/>
      <c r="H27" s="220" t="n">
        <v>0</v>
      </c>
      <c r="I27" s="165" t="n"/>
      <c r="J27" s="166" t="n"/>
      <c r="K27" s="232">
        <f>(K14*100%)</f>
        <v/>
      </c>
      <c r="L27" s="177" t="n"/>
      <c r="M27" s="233" t="n"/>
      <c r="N27" s="225">
        <f>K27*H27</f>
        <v/>
      </c>
      <c r="O27" s="177" t="n"/>
      <c r="P27" s="226" t="n"/>
      <c r="Q27" s="235" t="n"/>
      <c r="R27" s="69">
        <f>IFERROR(INDEX(Levantamento!$F$12:$F$111,MATCH(7,Levantamento!$O$12:$O$111,0)),"")</f>
        <v/>
      </c>
      <c r="S27" s="173" t="n"/>
      <c r="T27" s="173" t="n"/>
      <c r="U27" s="173" t="n"/>
      <c r="V27" s="173" t="n"/>
      <c r="W27" s="173" t="n"/>
      <c r="X27" s="173" t="n"/>
      <c r="Y27" s="173" t="n"/>
      <c r="Z27" s="173" t="n"/>
      <c r="AA27" s="173" t="n"/>
      <c r="AB27" s="174" t="n"/>
      <c r="AC27" s="231">
        <f>IF(R27="","",SUMIFS(Levantamento!$I$12:$I$111,Levantamento!$F$12:$F$111,R27,Levantamento!$E$12:$E$111,"Químico (laboratório)"))</f>
        <v/>
      </c>
      <c r="AD27" s="165" t="n"/>
      <c r="AE27" s="166" t="n"/>
      <c r="AF27" s="200">
        <f>IF(R27="","",INDEX(Levantamento!$J$12:$J$111,MATCH(7,Levantamento!$O$12:$O$111,0)))</f>
        <v/>
      </c>
      <c r="AG27" s="173" t="n"/>
      <c r="AH27" s="174" t="n"/>
      <c r="AI27" s="223">
        <f>IF(R27="",0,AC27*AF27)</f>
        <v/>
      </c>
      <c r="AJ27" s="173" t="n"/>
      <c r="AK27" s="202" t="n"/>
    </row>
    <row r="28" ht="15" customHeight="1" s="144">
      <c r="A28" s="79" t="n"/>
      <c r="B28" s="212" t="n"/>
      <c r="C28" s="212" t="n"/>
      <c r="D28" s="212" t="n"/>
      <c r="E28" s="212" t="n"/>
      <c r="F28" s="212" t="n"/>
      <c r="G28" s="212" t="n"/>
      <c r="H28" s="212" t="n"/>
      <c r="I28" s="212" t="n"/>
      <c r="J28" s="213" t="n"/>
      <c r="K28" s="234" t="inlineStr">
        <is>
          <t>Custos (4)</t>
        </is>
      </c>
      <c r="L28" s="191" t="n"/>
      <c r="M28" s="192" t="n"/>
      <c r="N28" s="228">
        <f>SUM(N26:P27)</f>
        <v/>
      </c>
      <c r="O28" s="191" t="n"/>
      <c r="P28" s="193" t="n"/>
      <c r="Q28" s="65" t="n"/>
      <c r="R28" s="75">
        <f>IFERROR(INDEX(Levantamento!$F$12:$F$111,MATCH(8,Levantamento!$O$12:$O$111,0)),"")</f>
        <v/>
      </c>
      <c r="S28" s="173" t="n"/>
      <c r="T28" s="173" t="n"/>
      <c r="U28" s="173" t="n"/>
      <c r="V28" s="173" t="n"/>
      <c r="W28" s="173" t="n"/>
      <c r="X28" s="173" t="n"/>
      <c r="Y28" s="173" t="n"/>
      <c r="Z28" s="173" t="n"/>
      <c r="AA28" s="173" t="n"/>
      <c r="AB28" s="174" t="n"/>
      <c r="AC28" s="231">
        <f>IF(R28="","",SUMIFS(Levantamento!$I$12:$I$111,Levantamento!$F$12:$F$111,R28,Levantamento!$E$12:$E$111,"Químico (laboratório)"))</f>
        <v/>
      </c>
      <c r="AD28" s="165" t="n"/>
      <c r="AE28" s="166" t="n"/>
      <c r="AF28" s="200">
        <f>IF(R28="","",INDEX(Levantamento!$J$12:$J$111,MATCH(8,Levantamento!$O$12:$O$111,0)))</f>
        <v/>
      </c>
      <c r="AG28" s="173" t="n"/>
      <c r="AH28" s="174" t="n"/>
      <c r="AI28" s="223">
        <f>IF(R28="",0,AC28*AF28)</f>
        <v/>
      </c>
      <c r="AJ28" s="173" t="n"/>
      <c r="AK28" s="202" t="n"/>
    </row>
    <row r="29" ht="15" customHeight="1" s="144">
      <c r="A29" s="92" t="n"/>
      <c r="B29" s="93" t="n"/>
      <c r="C29" s="93" t="n"/>
      <c r="D29" s="93" t="n"/>
      <c r="E29" s="93" t="n"/>
      <c r="F29" s="93" t="n"/>
      <c r="G29" s="93" t="n"/>
      <c r="H29" s="93" t="n"/>
      <c r="I29" s="93" t="n"/>
      <c r="J29" s="93" t="n"/>
      <c r="K29" s="236" t="n"/>
      <c r="L29" s="237" t="n"/>
      <c r="M29" s="237" t="n"/>
      <c r="N29" s="238" t="n"/>
      <c r="O29" s="238" t="n"/>
      <c r="P29" s="238" t="n"/>
      <c r="Q29" s="65" t="n"/>
      <c r="R29" s="97">
        <f>IFERROR(INDEX(Levantamento!$F$12:$F$111,MATCH(9,Levantamento!$O$12:$O$111,0)),"")</f>
        <v/>
      </c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9" t="n"/>
      <c r="AC29" s="239">
        <f>IF(R29="","",SUMIFS(Levantamento!$I$12:$I$111,Levantamento!$F$12:$F$111,R29,Levantamento!$E$12:$E$111,"Químico (laboratório)"))</f>
        <v/>
      </c>
      <c r="AD29" s="165" t="n"/>
      <c r="AE29" s="166" t="n"/>
      <c r="AF29" s="208">
        <f>IF(R29="","",INDEX(Levantamento!$J$12:$J$111,MATCH(9,Levantamento!$O$12:$O$111,0)))</f>
        <v/>
      </c>
      <c r="AG29" s="165" t="n"/>
      <c r="AH29" s="166" t="n"/>
      <c r="AI29" s="223">
        <f>IF(R29="",0,AC29*AF29)</f>
        <v/>
      </c>
      <c r="AJ29" s="173" t="n"/>
      <c r="AK29" s="202" t="n"/>
    </row>
    <row r="30" ht="15" customHeight="1" s="144">
      <c r="A30" s="92" t="n"/>
      <c r="B30" s="93" t="n"/>
      <c r="C30" s="93" t="n"/>
      <c r="D30" s="93" t="n"/>
      <c r="E30" s="93" t="n"/>
      <c r="F30" s="93" t="n"/>
      <c r="G30" s="93" t="n"/>
      <c r="H30" s="93" t="n"/>
      <c r="I30" s="93" t="n"/>
      <c r="J30" s="93" t="n"/>
      <c r="K30" s="236" t="n"/>
      <c r="L30" s="237" t="n"/>
      <c r="M30" s="237" t="n"/>
      <c r="N30" s="238" t="n"/>
      <c r="O30" s="238" t="n"/>
      <c r="P30" s="238" t="n"/>
      <c r="Q30" s="65" t="n"/>
      <c r="R30" s="101">
        <f>IFERROR(INDEX(Levantamento!$F$12:$F$111,MATCH(10,Levantamento!$O$12:$O$111,0)),"")</f>
        <v/>
      </c>
      <c r="S30" s="165" t="n"/>
      <c r="T30" s="165" t="n"/>
      <c r="U30" s="165" t="n"/>
      <c r="V30" s="165" t="n"/>
      <c r="W30" s="165" t="n"/>
      <c r="X30" s="165" t="n"/>
      <c r="Y30" s="165" t="n"/>
      <c r="Z30" s="165" t="n"/>
      <c r="AA30" s="165" t="n"/>
      <c r="AB30" s="99" t="n"/>
      <c r="AC30" s="231">
        <f>IF(R30="","",SUMIFS(Levantamento!$I$12:$I$111,Levantamento!$F$12:$F$111,R30,Levantamento!$E$12:$E$111,"Químico (laboratório)"))</f>
        <v/>
      </c>
      <c r="AD30" s="165" t="n"/>
      <c r="AE30" s="166" t="n"/>
      <c r="AF30" s="208">
        <f>IF(R30="","",INDEX(Levantamento!$J$12:$J$111,MATCH(10,Levantamento!$O$12:$O$111,0)))</f>
        <v/>
      </c>
      <c r="AG30" s="165" t="n"/>
      <c r="AH30" s="166" t="n"/>
      <c r="AI30" s="223">
        <f>IF(R30="",0,AC30*AF30)</f>
        <v/>
      </c>
      <c r="AJ30" s="173" t="n"/>
      <c r="AK30" s="202" t="n"/>
    </row>
    <row r="31" ht="15" customHeight="1" s="144">
      <c r="A31" s="92" t="n"/>
      <c r="B31" s="93" t="n"/>
      <c r="C31" s="93" t="n"/>
      <c r="D31" s="93" t="n"/>
      <c r="E31" s="93" t="n"/>
      <c r="F31" s="93" t="n"/>
      <c r="G31" s="93" t="n"/>
      <c r="H31" s="93" t="n"/>
      <c r="I31" s="93" t="n"/>
      <c r="J31" s="93" t="n"/>
      <c r="K31" s="236" t="n"/>
      <c r="L31" s="237" t="n"/>
      <c r="M31" s="237" t="n"/>
      <c r="N31" s="238" t="n"/>
      <c r="O31" s="238" t="n"/>
      <c r="P31" s="238" t="n"/>
      <c r="Q31" s="65" t="n"/>
      <c r="R31" s="97">
        <f>IFERROR(INDEX(Levantamento!$F$12:$F$111,MATCH(11,Levantamento!$O$12:$O$111,0)),"")</f>
        <v/>
      </c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9" t="n"/>
      <c r="AC31" s="240">
        <f>IF(R31="","",SUMIFS(Levantamento!$I$12:$I$111,Levantamento!$F$12:$F$111,R31,Levantamento!$E$12:$E$111,"Químico (laboratório)"))</f>
        <v/>
      </c>
      <c r="AD31" s="241" t="n"/>
      <c r="AE31" s="242" t="n"/>
      <c r="AF31" s="243">
        <f>IF(R31="","",INDEX(Levantamento!$J$12:$J$111,MATCH(11,Levantamento!$O$12:$O$111,0)))</f>
        <v/>
      </c>
      <c r="AG31" s="244" t="n"/>
      <c r="AH31" s="245" t="n"/>
      <c r="AI31" s="246">
        <f>IF(R31="",0,AC31*AF31)</f>
        <v/>
      </c>
      <c r="AJ31" s="247" t="n"/>
      <c r="AK31" s="248" t="n"/>
    </row>
    <row r="32" ht="15" customHeight="1" s="144">
      <c r="A32" s="29" t="inlineStr">
        <is>
          <t>2 - DESPESAS C/ TRANSPORTE e ALMENTAÇÃO</t>
        </is>
      </c>
      <c r="B32" s="189" t="n"/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35" t="n"/>
      <c r="R32" s="42">
        <f>IFERROR(INDEX(Levantamento!$F$12:$F$111,MATCH(12,Levantamento!$O$12:$O$111,0)),"")</f>
        <v/>
      </c>
      <c r="S32" s="165" t="n"/>
      <c r="T32" s="165" t="n"/>
      <c r="U32" s="165" t="n"/>
      <c r="V32" s="165" t="n"/>
      <c r="W32" s="165" t="n"/>
      <c r="X32" s="165" t="n"/>
      <c r="Y32" s="165" t="n"/>
      <c r="Z32" s="165" t="n"/>
      <c r="AA32" s="165" t="n"/>
      <c r="AB32" s="166" t="n"/>
      <c r="AC32" s="231">
        <f>IF(R32="","",SUMIFS(Levantamento!$I$12:$I$111,Levantamento!$F$12:$F$111,R32,Levantamento!$E$12:$E$111,"Químico (laboratório)"))</f>
        <v/>
      </c>
      <c r="AD32" s="165" t="n"/>
      <c r="AE32" s="166" t="n"/>
      <c r="AF32" s="200">
        <f>IF(R32="","",INDEX(Levantamento!$J$12:$J$111,MATCH(12,Levantamento!$O$12:$O$111,0)))</f>
        <v/>
      </c>
      <c r="AG32" s="173" t="n"/>
      <c r="AH32" s="174" t="n"/>
      <c r="AI32" s="223">
        <f>IF(R32="",0,AC32*AF32)</f>
        <v/>
      </c>
      <c r="AJ32" s="173" t="n"/>
      <c r="AK32" s="202" t="n"/>
    </row>
    <row r="33" ht="15" customHeight="1" s="144">
      <c r="A33" s="32" t="inlineStr">
        <is>
          <t>Meios de Transporte</t>
        </is>
      </c>
      <c r="B33" s="191" t="n"/>
      <c r="C33" s="191" t="n"/>
      <c r="D33" s="191" t="n"/>
      <c r="E33" s="191" t="n"/>
      <c r="F33" s="191" t="n"/>
      <c r="G33" s="192" t="n"/>
      <c r="H33" s="33" t="inlineStr">
        <is>
          <t>Quant.</t>
        </is>
      </c>
      <c r="I33" s="191" t="n"/>
      <c r="J33" s="192" t="n"/>
      <c r="K33" s="33" t="inlineStr">
        <is>
          <t>Valor</t>
        </is>
      </c>
      <c r="L33" s="191" t="n"/>
      <c r="M33" s="192" t="n"/>
      <c r="N33" s="34" t="inlineStr">
        <is>
          <t>Total</t>
        </is>
      </c>
      <c r="O33" s="191" t="n"/>
      <c r="P33" s="193" t="n"/>
      <c r="Q33" s="65" t="n"/>
      <c r="R33" s="42">
        <f>IFERROR(INDEX(Levantamento!$F$12:$F$111,MATCH(13,Levantamento!$O$12:$O$111,0)),"")</f>
        <v/>
      </c>
      <c r="S33" s="165" t="n"/>
      <c r="T33" s="165" t="n"/>
      <c r="U33" s="165" t="n"/>
      <c r="V33" s="165" t="n"/>
      <c r="W33" s="165" t="n"/>
      <c r="X33" s="165" t="n"/>
      <c r="Y33" s="165" t="n"/>
      <c r="Z33" s="165" t="n"/>
      <c r="AA33" s="165" t="n"/>
      <c r="AB33" s="166" t="n"/>
      <c r="AC33" s="231">
        <f>IF(R33="","",SUMIFS(Levantamento!$I$12:$I$111,Levantamento!$F$12:$F$111,R33,Levantamento!$E$12:$E$111,"Químico (laboratório)"))</f>
        <v/>
      </c>
      <c r="AD33" s="165" t="n"/>
      <c r="AE33" s="166" t="n"/>
      <c r="AF33" s="200">
        <f>IF(R33="","",INDEX(Levantamento!$J$12:$J$111,MATCH(13,Levantamento!$O$12:$O$111,0)))</f>
        <v/>
      </c>
      <c r="AG33" s="173" t="n"/>
      <c r="AH33" s="174" t="n"/>
      <c r="AI33" s="223">
        <f>IF(R33="",0,AC33*AF33)</f>
        <v/>
      </c>
      <c r="AJ33" s="173" t="n"/>
      <c r="AK33" s="202" t="n"/>
    </row>
    <row r="34" ht="15" customHeight="1" s="144">
      <c r="A34" s="38" t="inlineStr">
        <is>
          <t>Veículo Alugado</t>
        </is>
      </c>
      <c r="B34" s="173" t="n"/>
      <c r="C34" s="173" t="n"/>
      <c r="D34" s="173" t="n"/>
      <c r="E34" s="173" t="n"/>
      <c r="F34" s="173" t="n"/>
      <c r="G34" s="174" t="n"/>
      <c r="H34" s="199" t="n">
        <v>0</v>
      </c>
      <c r="I34" s="173" t="n"/>
      <c r="J34" s="174" t="n"/>
      <c r="K34" s="249" t="n">
        <v>0</v>
      </c>
      <c r="L34" s="250" t="n"/>
      <c r="M34" s="251" t="n"/>
      <c r="N34" s="197">
        <f>H34*K34</f>
        <v/>
      </c>
      <c r="O34" s="173" t="n"/>
      <c r="P34" s="198" t="n"/>
      <c r="Q34" s="65" t="n"/>
      <c r="R34" s="112">
        <f>IF(MAX(Levantamento!$O$12:$O$111)&gt;13,"Demais exames de laboratório (ver aba Levantamento)","")</f>
        <v/>
      </c>
      <c r="S34" s="203" t="n"/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04" t="n"/>
      <c r="AC34" s="252" t="n"/>
      <c r="AD34" s="203" t="n"/>
      <c r="AE34" s="204" t="n"/>
      <c r="AF34" s="253" t="n"/>
      <c r="AG34" s="203" t="n"/>
      <c r="AH34" s="204" t="n"/>
      <c r="AI34" s="223">
        <f>SUMIFS(Levantamento!$K$12:$K$111,Levantamento!$E$12:$E$111,"Químico (laboratório)")-SUM(AI21:AK33)</f>
        <v/>
      </c>
      <c r="AJ34" s="173" t="n"/>
      <c r="AK34" s="202" t="n"/>
    </row>
    <row r="35" ht="15" customHeight="1" s="144">
      <c r="A35" s="67" t="inlineStr">
        <is>
          <t>Km Rodado</t>
        </is>
      </c>
      <c r="B35" s="165" t="n"/>
      <c r="C35" s="165" t="n"/>
      <c r="D35" s="165" t="n"/>
      <c r="E35" s="165" t="n"/>
      <c r="F35" s="165" t="n"/>
      <c r="G35" s="166" t="n"/>
      <c r="H35" s="207">
        <f>IF(L_DIST*2&lt;=P_KM_LIVRE,0,IF(L_PERNOITE="Sim",L_DIST*2,L_DIST*2*L_DIAS))</f>
        <v/>
      </c>
      <c r="I35" s="165" t="n"/>
      <c r="J35" s="166" t="n"/>
      <c r="K35" s="208">
        <f>P_KM</f>
        <v/>
      </c>
      <c r="L35" s="165" t="n"/>
      <c r="M35" s="166" t="n"/>
      <c r="N35" s="197">
        <f>H35*K35</f>
        <v/>
      </c>
      <c r="O35" s="173" t="n"/>
      <c r="P35" s="198" t="n"/>
      <c r="Q35" s="65" t="n"/>
      <c r="R35" s="56" t="n"/>
      <c r="S35" s="212" t="n"/>
      <c r="T35" s="212" t="n"/>
      <c r="U35" s="212" t="n"/>
      <c r="V35" s="212" t="n"/>
      <c r="W35" s="212" t="n"/>
      <c r="X35" s="212" t="n"/>
      <c r="Y35" s="212" t="n"/>
      <c r="Z35" s="212" t="n"/>
      <c r="AA35" s="212" t="n"/>
      <c r="AB35" s="212" t="n"/>
      <c r="AC35" s="212" t="n"/>
      <c r="AD35" s="212" t="n"/>
      <c r="AE35" s="213" t="n"/>
      <c r="AF35" s="115" t="inlineStr">
        <is>
          <t>Custos (7)</t>
        </is>
      </c>
      <c r="AG35" s="191" t="n"/>
      <c r="AH35" s="193" t="n"/>
      <c r="AI35" s="214">
        <f>SUM(AI15:AK34)</f>
        <v/>
      </c>
      <c r="AJ35" s="191" t="n"/>
      <c r="AK35" s="194" t="n"/>
    </row>
    <row r="36" ht="15" customHeight="1" s="144">
      <c r="A36" s="46" t="inlineStr">
        <is>
          <t>Outros (Alimentação, Passagens Etc)</t>
        </is>
      </c>
      <c r="B36" s="203" t="n"/>
      <c r="C36" s="203" t="n"/>
      <c r="D36" s="203" t="n"/>
      <c r="E36" s="203" t="n"/>
      <c r="F36" s="203" t="n"/>
      <c r="G36" s="204" t="n"/>
      <c r="H36" s="252">
        <f>IF(L_DIST&lt;=P_DIST_DIARIA,L_DIAS,0)</f>
        <v/>
      </c>
      <c r="I36" s="203" t="n"/>
      <c r="J36" s="204" t="n"/>
      <c r="K36" s="253">
        <f>P_REFEICAO</f>
        <v/>
      </c>
      <c r="L36" s="203" t="n"/>
      <c r="M36" s="204" t="n"/>
      <c r="N36" s="197">
        <f>H36*K36</f>
        <v/>
      </c>
      <c r="O36" s="173" t="n"/>
      <c r="P36" s="198" t="n"/>
      <c r="Q36" s="65" t="n"/>
      <c r="R36" s="116" t="n"/>
      <c r="S36" s="189" t="n"/>
      <c r="T36" s="189" t="n"/>
      <c r="U36" s="189" t="n"/>
      <c r="V36" s="189" t="n"/>
      <c r="W36" s="189" t="n"/>
      <c r="X36" s="189" t="n"/>
      <c r="Y36" s="189" t="n"/>
      <c r="Z36" s="189" t="n"/>
      <c r="AA36" s="189" t="n"/>
      <c r="AB36" s="189" t="n"/>
      <c r="AC36" s="189" t="n"/>
      <c r="AD36" s="189" t="n"/>
      <c r="AE36" s="189" t="n"/>
      <c r="AF36" s="189" t="n"/>
      <c r="AG36" s="189" t="n"/>
      <c r="AH36" s="189" t="n"/>
      <c r="AI36" s="254" t="n"/>
      <c r="AJ36" s="191" t="n"/>
      <c r="AK36" s="194" t="n"/>
    </row>
    <row r="37" ht="15" customHeight="1" s="144">
      <c r="A37" s="118" t="inlineStr">
        <is>
          <t>Outros (Alimentação, Passagens Etc)</t>
        </is>
      </c>
      <c r="B37" s="212" t="n"/>
      <c r="C37" s="212" t="n"/>
      <c r="D37" s="212" t="n"/>
      <c r="E37" s="212" t="n"/>
      <c r="F37" s="212" t="n"/>
      <c r="G37" s="212" t="n"/>
      <c r="H37" s="212" t="n"/>
      <c r="I37" s="212" t="n"/>
      <c r="J37" s="213" t="n"/>
      <c r="K37" s="255" t="inlineStr">
        <is>
          <t>Custos (5)</t>
        </is>
      </c>
      <c r="L37" s="191" t="n"/>
      <c r="M37" s="192" t="n"/>
      <c r="N37" s="228">
        <f>SUM(N34:P36)</f>
        <v/>
      </c>
      <c r="O37" s="191" t="n"/>
      <c r="P37" s="193" t="n"/>
      <c r="Q37" s="120" t="n"/>
      <c r="R37" s="121" t="inlineStr">
        <is>
          <t>5 - Custos Totais (1+2+3+4+5+6+7)</t>
        </is>
      </c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212" t="n"/>
      <c r="AB37" s="212" t="n"/>
      <c r="AC37" s="212" t="n"/>
      <c r="AD37" s="212" t="n"/>
      <c r="AE37" s="212" t="n"/>
      <c r="AF37" s="212" t="n"/>
      <c r="AG37" s="212" t="n"/>
      <c r="AH37" s="213" t="n"/>
      <c r="AI37" s="256">
        <f>N10+N18+N23+N28+N37+AI11+AI35</f>
        <v/>
      </c>
      <c r="AJ37" s="212" t="n"/>
      <c r="AK37" s="257" t="n"/>
    </row>
    <row r="38" ht="15" customHeight="1" s="144">
      <c r="A38" s="123" t="n"/>
      <c r="B38" s="173" t="n"/>
      <c r="C38" s="173" t="n"/>
      <c r="D38" s="173" t="n"/>
      <c r="E38" s="173" t="n"/>
      <c r="F38" s="173" t="n"/>
      <c r="G38" s="173" t="n"/>
      <c r="H38" s="173" t="n"/>
      <c r="I38" s="173" t="n"/>
      <c r="J38" s="173" t="n"/>
      <c r="K38" s="173" t="n"/>
      <c r="L38" s="173" t="n"/>
      <c r="M38" s="173" t="n"/>
      <c r="N38" s="173" t="n"/>
      <c r="O38" s="173" t="n"/>
      <c r="P38" s="173" t="n"/>
      <c r="Q38" s="120" t="n"/>
      <c r="R38" s="124" t="inlineStr">
        <is>
          <t>6 - Bonificação de Despesas Indiretas - BDI (%)</t>
        </is>
      </c>
      <c r="S38" s="177" t="n"/>
      <c r="T38" s="177" t="n"/>
      <c r="U38" s="177" t="n"/>
      <c r="V38" s="177" t="n"/>
      <c r="W38" s="177" t="n"/>
      <c r="X38" s="177" t="n"/>
      <c r="Y38" s="177" t="n"/>
      <c r="Z38" s="177" t="n"/>
      <c r="AA38" s="177" t="n"/>
      <c r="AB38" s="177" t="n"/>
      <c r="AC38" s="177" t="n"/>
      <c r="AD38" s="177" t="n"/>
      <c r="AE38" s="177" t="n"/>
      <c r="AF38" s="258">
        <f>P_BDI</f>
        <v/>
      </c>
      <c r="AG38" s="250" t="n"/>
      <c r="AH38" s="259" t="n"/>
      <c r="AI38" s="260">
        <f>AI37*AF38</f>
        <v/>
      </c>
      <c r="AJ38" s="250" t="n"/>
      <c r="AK38" s="261" t="n"/>
    </row>
    <row r="39" ht="15" customHeight="1" s="144">
      <c r="A39" s="127" t="inlineStr">
        <is>
          <t>Observaões:</t>
        </is>
      </c>
      <c r="B39" s="165" t="n"/>
      <c r="C39" s="165" t="n"/>
      <c r="D39" s="165" t="n"/>
      <c r="E39" s="165" t="n"/>
      <c r="F39" s="166" t="n"/>
      <c r="G39" s="128">
        <f>"Avaliações: "&amp;L_TOTAL_AV&amp;" | Dias em campo: "&amp;L_DIAS&amp;" | Horas TST campo: "&amp;H14&amp;IF(L_TOTAL_AV=0," | LAUDO DE AUSÊNCIA DE RISCO (valor fechado)","")</f>
        <v/>
      </c>
      <c r="H39" s="165" t="n"/>
      <c r="I39" s="165" t="n"/>
      <c r="J39" s="165" t="n"/>
      <c r="K39" s="165" t="n"/>
      <c r="L39" s="165" t="n"/>
      <c r="M39" s="165" t="n"/>
      <c r="N39" s="165" t="n"/>
      <c r="O39" s="165" t="n"/>
      <c r="P39" s="262" t="n"/>
      <c r="Q39" s="129" t="n"/>
      <c r="R39" s="124" t="inlineStr">
        <is>
          <t>7 - Desconto Exclusivo (%)</t>
        </is>
      </c>
      <c r="S39" s="177" t="n"/>
      <c r="T39" s="177" t="n"/>
      <c r="U39" s="177" t="n"/>
      <c r="V39" s="177" t="n"/>
      <c r="W39" s="177" t="n"/>
      <c r="X39" s="177" t="n"/>
      <c r="Y39" s="177" t="n"/>
      <c r="Z39" s="177" t="n"/>
      <c r="AA39" s="177" t="n"/>
      <c r="AB39" s="177" t="n"/>
      <c r="AC39" s="177" t="n"/>
      <c r="AD39" s="177" t="n"/>
      <c r="AE39" s="177" t="n"/>
      <c r="AF39" s="263">
        <f>P_DESCONTO</f>
        <v/>
      </c>
      <c r="AG39" s="203" t="n"/>
      <c r="AH39" s="264" t="n"/>
      <c r="AI39" s="265">
        <f>AF39*(AI37+AI38)</f>
        <v/>
      </c>
      <c r="AJ39" s="203" t="n"/>
      <c r="AK39" s="266" t="n"/>
    </row>
    <row r="40" ht="15" customHeight="1" s="144">
      <c r="A40" s="132" t="n"/>
      <c r="B40" s="165" t="n"/>
      <c r="C40" s="165" t="n"/>
      <c r="D40" s="165" t="n"/>
      <c r="E40" s="165" t="n"/>
      <c r="F40" s="165" t="n"/>
      <c r="G40" s="165" t="n"/>
      <c r="H40" s="165" t="n"/>
      <c r="I40" s="165" t="n"/>
      <c r="J40" s="165" t="n"/>
      <c r="K40" s="165" t="n"/>
      <c r="L40" s="165" t="n"/>
      <c r="M40" s="165" t="n"/>
      <c r="N40" s="165" t="n"/>
      <c r="O40" s="165" t="n"/>
      <c r="P40" s="262" t="n"/>
      <c r="Q40" s="133" t="n"/>
      <c r="R40" s="124" t="inlineStr">
        <is>
          <t>8 - Margem Final</t>
        </is>
      </c>
      <c r="S40" s="177" t="n"/>
      <c r="T40" s="177" t="n"/>
      <c r="U40" s="177" t="n"/>
      <c r="V40" s="177" t="n"/>
      <c r="W40" s="177" t="n"/>
      <c r="X40" s="177" t="n"/>
      <c r="Y40" s="177" t="n"/>
      <c r="Z40" s="177" t="n"/>
      <c r="AA40" s="177" t="n"/>
      <c r="AB40" s="177" t="n"/>
      <c r="AC40" s="177" t="n"/>
      <c r="AD40" s="177" t="n"/>
      <c r="AE40" s="177" t="n"/>
      <c r="AF40" s="267">
        <f>(AI41/AI37)-1</f>
        <v/>
      </c>
      <c r="AG40" s="191" t="n"/>
      <c r="AH40" s="191" t="n"/>
      <c r="AI40" s="191" t="n"/>
      <c r="AJ40" s="191" t="n"/>
      <c r="AK40" s="194" t="n"/>
    </row>
    <row r="41" ht="15" customHeight="1" s="144">
      <c r="A41" s="132" t="n"/>
      <c r="B41" s="165" t="n"/>
      <c r="C41" s="165" t="n"/>
      <c r="D41" s="165" t="n"/>
      <c r="E41" s="165" t="n"/>
      <c r="F41" s="165" t="n"/>
      <c r="G41" s="165" t="n"/>
      <c r="H41" s="165" t="n"/>
      <c r="I41" s="165" t="n"/>
      <c r="J41" s="165" t="n"/>
      <c r="K41" s="165" t="n"/>
      <c r="L41" s="165" t="n"/>
      <c r="M41" s="165" t="n"/>
      <c r="N41" s="165" t="n"/>
      <c r="O41" s="165" t="n"/>
      <c r="P41" s="262" t="n"/>
      <c r="Q41" s="135" t="n"/>
      <c r="R41" s="136" t="inlineStr">
        <is>
          <t>9 - Valor total da proposta</t>
        </is>
      </c>
      <c r="S41" s="189" t="n"/>
      <c r="T41" s="189" t="n"/>
      <c r="U41" s="189" t="n"/>
      <c r="V41" s="189" t="n"/>
      <c r="W41" s="189" t="n"/>
      <c r="X41" s="189" t="n"/>
      <c r="Y41" s="189" t="n"/>
      <c r="Z41" s="189" t="n"/>
      <c r="AA41" s="189" t="n"/>
      <c r="AB41" s="189" t="n"/>
      <c r="AC41" s="189" t="n"/>
      <c r="AD41" s="189" t="n"/>
      <c r="AE41" s="189" t="n"/>
      <c r="AF41" s="189" t="n"/>
      <c r="AG41" s="189" t="n"/>
      <c r="AH41" s="268" t="n"/>
      <c r="AI41" s="269">
        <f>IF(L_TOTAL_AV=0,P_AUSENCIA,AI37+AI38-AI39)</f>
        <v/>
      </c>
      <c r="AJ41" s="189" t="n"/>
      <c r="AK41" s="190" t="n"/>
    </row>
    <row r="42" ht="15" customHeight="1" s="144">
      <c r="A42" s="127" t="inlineStr">
        <is>
          <t>Nome do Responsável:</t>
        </is>
      </c>
      <c r="B42" s="165" t="n"/>
      <c r="C42" s="165" t="n"/>
      <c r="D42" s="165" t="n"/>
      <c r="E42" s="165" t="n"/>
      <c r="F42" s="166" t="n"/>
      <c r="G42" s="138">
        <f>L_RESP</f>
        <v/>
      </c>
      <c r="H42" s="165" t="n"/>
      <c r="I42" s="165" t="n"/>
      <c r="J42" s="165" t="n"/>
      <c r="K42" s="165" t="n"/>
      <c r="L42" s="165" t="n"/>
      <c r="M42" s="165" t="n"/>
      <c r="N42" s="165" t="n"/>
      <c r="O42" s="165" t="n"/>
      <c r="P42" s="262" t="n"/>
      <c r="Q42" s="135" t="n"/>
      <c r="R42" s="139" t="n"/>
      <c r="S42" s="177" t="n"/>
      <c r="T42" s="177" t="n"/>
      <c r="U42" s="177" t="n"/>
      <c r="V42" s="177" t="n"/>
      <c r="W42" s="177" t="n"/>
      <c r="X42" s="177" t="n"/>
      <c r="Y42" s="177" t="n"/>
      <c r="Z42" s="177" t="n"/>
      <c r="AA42" s="177" t="n"/>
      <c r="AB42" s="177" t="n"/>
      <c r="AC42" s="177" t="n"/>
      <c r="AD42" s="177" t="n"/>
      <c r="AE42" s="177" t="n"/>
      <c r="AF42" s="177" t="n"/>
      <c r="AG42" s="177" t="n"/>
      <c r="AH42" s="177" t="n"/>
      <c r="AI42" s="177" t="n"/>
      <c r="AJ42" s="177" t="n"/>
      <c r="AK42" s="178" t="n"/>
    </row>
    <row r="43" ht="15" customHeight="1" s="144">
      <c r="A43" s="140" t="n"/>
      <c r="B43" s="181" t="n"/>
      <c r="C43" s="181" t="n"/>
      <c r="D43" s="181" t="n"/>
      <c r="E43" s="181" t="n"/>
      <c r="F43" s="181" t="n"/>
      <c r="G43" s="181" t="n"/>
      <c r="H43" s="181" t="n"/>
      <c r="I43" s="181" t="n"/>
      <c r="J43" s="181" t="n"/>
      <c r="K43" s="181" t="n"/>
      <c r="L43" s="181" t="n"/>
      <c r="M43" s="181" t="n"/>
      <c r="N43" s="181" t="n"/>
      <c r="O43" s="181" t="n"/>
      <c r="P43" s="182" t="n"/>
      <c r="Q43" s="141" t="n"/>
      <c r="R43" s="142" t="n"/>
      <c r="S43" s="142" t="n"/>
      <c r="T43" s="142" t="n"/>
      <c r="U43" s="142" t="n"/>
      <c r="V43" s="142" t="n"/>
      <c r="W43" s="142" t="n"/>
      <c r="X43" s="142" t="n"/>
      <c r="Y43" s="142" t="n"/>
      <c r="Z43" s="142" t="n"/>
      <c r="AA43" s="142" t="n"/>
      <c r="AB43" s="142" t="n"/>
      <c r="AC43" s="142" t="n"/>
      <c r="AD43" s="142" t="n"/>
      <c r="AE43" s="142" t="n"/>
      <c r="AF43" s="142" t="n"/>
      <c r="AG43" s="142" t="n"/>
      <c r="AH43" s="142" t="n"/>
      <c r="AI43" s="142" t="n"/>
      <c r="AJ43" s="142" t="n"/>
      <c r="AK43" s="143" t="n"/>
    </row>
    <row r="44" ht="13.5" customHeight="1" s="144"/>
  </sheetData>
  <mergeCells count="244">
    <mergeCell ref="A23:J23"/>
    <mergeCell ref="AI15:AK15"/>
    <mergeCell ref="A17:G17"/>
    <mergeCell ref="N33:P33"/>
    <mergeCell ref="AC14:AE14"/>
    <mergeCell ref="A22:G22"/>
    <mergeCell ref="A35:G35"/>
    <mergeCell ref="AC23:AE23"/>
    <mergeCell ref="N17:P17"/>
    <mergeCell ref="R28:AB28"/>
    <mergeCell ref="H17:J17"/>
    <mergeCell ref="A19:G19"/>
    <mergeCell ref="AF30:AH30"/>
    <mergeCell ref="AI32:AK32"/>
    <mergeCell ref="AI7:AK7"/>
    <mergeCell ref="N19:P19"/>
    <mergeCell ref="A9:G9"/>
    <mergeCell ref="R13:AK13"/>
    <mergeCell ref="AF20:AH20"/>
    <mergeCell ref="AF14:AH14"/>
    <mergeCell ref="H22:J22"/>
    <mergeCell ref="H19:J19"/>
    <mergeCell ref="K27:M27"/>
    <mergeCell ref="N28:P28"/>
    <mergeCell ref="N9:P9"/>
    <mergeCell ref="AF17:AH17"/>
    <mergeCell ref="R15:AB15"/>
    <mergeCell ref="R6:AK6"/>
    <mergeCell ref="K17:M17"/>
    <mergeCell ref="A11:P11"/>
    <mergeCell ref="G42:P42"/>
    <mergeCell ref="R12:AB12"/>
    <mergeCell ref="K10:M10"/>
    <mergeCell ref="R21:AB21"/>
    <mergeCell ref="AF19:AH19"/>
    <mergeCell ref="AI33:AK33"/>
    <mergeCell ref="AF28:AH28"/>
    <mergeCell ref="AI17:AK17"/>
    <mergeCell ref="R32:AB32"/>
    <mergeCell ref="K34:M34"/>
    <mergeCell ref="K16:M16"/>
    <mergeCell ref="AF39:AH39"/>
    <mergeCell ref="AC16:AE16"/>
    <mergeCell ref="K25:M25"/>
    <mergeCell ref="N2:AC2"/>
    <mergeCell ref="AJ4:AK4"/>
    <mergeCell ref="AI19:AK19"/>
    <mergeCell ref="AF2:AK3"/>
    <mergeCell ref="K9:M9"/>
    <mergeCell ref="A21:G21"/>
    <mergeCell ref="AI28:AK28"/>
    <mergeCell ref="AI34:AK34"/>
    <mergeCell ref="K36:M36"/>
    <mergeCell ref="AC18:AE18"/>
    <mergeCell ref="A26:G26"/>
    <mergeCell ref="AI9:AK9"/>
    <mergeCell ref="K20:M20"/>
    <mergeCell ref="R18:AB18"/>
    <mergeCell ref="R33:AB33"/>
    <mergeCell ref="A2:M2"/>
    <mergeCell ref="H21:J21"/>
    <mergeCell ref="AI30:AK30"/>
    <mergeCell ref="R8:AB8"/>
    <mergeCell ref="A8:G8"/>
    <mergeCell ref="AF10:AH10"/>
    <mergeCell ref="AI11:AK11"/>
    <mergeCell ref="N18:P18"/>
    <mergeCell ref="K22:M22"/>
    <mergeCell ref="AD2:AE3"/>
    <mergeCell ref="N8:P8"/>
    <mergeCell ref="R10:AB10"/>
    <mergeCell ref="K12:M12"/>
    <mergeCell ref="AC20:AE20"/>
    <mergeCell ref="R19:AB19"/>
    <mergeCell ref="H7:J7"/>
    <mergeCell ref="AC29:AE29"/>
    <mergeCell ref="H16:J16"/>
    <mergeCell ref="K8:M8"/>
    <mergeCell ref="A42:F42"/>
    <mergeCell ref="N10:P10"/>
    <mergeCell ref="R16:AB16"/>
    <mergeCell ref="K14:M14"/>
    <mergeCell ref="R25:AB25"/>
    <mergeCell ref="AC22:AE22"/>
    <mergeCell ref="H27:J27"/>
    <mergeCell ref="K23:M23"/>
    <mergeCell ref="A34:G34"/>
    <mergeCell ref="AI37:AK37"/>
    <mergeCell ref="AF8:AH8"/>
    <mergeCell ref="A4:C4"/>
    <mergeCell ref="AI21:AK21"/>
    <mergeCell ref="N34:P34"/>
    <mergeCell ref="K7:M7"/>
    <mergeCell ref="R37:AH37"/>
    <mergeCell ref="AC21:AE21"/>
    <mergeCell ref="H33:J33"/>
    <mergeCell ref="A36:G36"/>
    <mergeCell ref="R35:AE35"/>
    <mergeCell ref="AF22:AH22"/>
    <mergeCell ref="AI23:AK23"/>
    <mergeCell ref="N36:P36"/>
    <mergeCell ref="AF18:AH18"/>
    <mergeCell ref="K18:M18"/>
    <mergeCell ref="H35:J35"/>
    <mergeCell ref="AI8:AK8"/>
    <mergeCell ref="N20:P20"/>
    <mergeCell ref="R41:AH41"/>
    <mergeCell ref="AF34:AH34"/>
    <mergeCell ref="AC7:AE7"/>
    <mergeCell ref="H20:J20"/>
    <mergeCell ref="K33:M33"/>
    <mergeCell ref="AI10:AK10"/>
    <mergeCell ref="A18:J18"/>
    <mergeCell ref="N22:P22"/>
    <mergeCell ref="A12:G12"/>
    <mergeCell ref="N37:P37"/>
    <mergeCell ref="K35:M35"/>
    <mergeCell ref="N12:P12"/>
    <mergeCell ref="N21:P21"/>
    <mergeCell ref="R23:AB23"/>
    <mergeCell ref="AF29:AH29"/>
    <mergeCell ref="A14:G14"/>
    <mergeCell ref="AC33:AE33"/>
    <mergeCell ref="A32:P32"/>
    <mergeCell ref="R39:AE39"/>
    <mergeCell ref="AI27:AK27"/>
    <mergeCell ref="N14:P14"/>
    <mergeCell ref="AI36:AK36"/>
    <mergeCell ref="N23:P23"/>
    <mergeCell ref="R11:AE11"/>
    <mergeCell ref="A38:P38"/>
    <mergeCell ref="R38:AE38"/>
    <mergeCell ref="AI20:AK20"/>
    <mergeCell ref="A28:J28"/>
    <mergeCell ref="AF12:AH12"/>
    <mergeCell ref="A43:P43"/>
    <mergeCell ref="AF21:AH21"/>
    <mergeCell ref="AC19:AE19"/>
    <mergeCell ref="AC25:AE25"/>
    <mergeCell ref="A1:AC1"/>
    <mergeCell ref="AC34:AE34"/>
    <mergeCell ref="A40:P40"/>
    <mergeCell ref="R7:AB7"/>
    <mergeCell ref="H13:J13"/>
    <mergeCell ref="R34:AB34"/>
    <mergeCell ref="AI22:AK22"/>
    <mergeCell ref="AC9:AE9"/>
    <mergeCell ref="AF32:AH32"/>
    <mergeCell ref="AF26:AH26"/>
    <mergeCell ref="R40:AE40"/>
    <mergeCell ref="AF23:AH23"/>
    <mergeCell ref="AF35:AH35"/>
    <mergeCell ref="AI12:AK12"/>
    <mergeCell ref="R27:AB27"/>
    <mergeCell ref="H15:J15"/>
    <mergeCell ref="AF7:AH7"/>
    <mergeCell ref="AF38:AH38"/>
    <mergeCell ref="AF40:AK40"/>
    <mergeCell ref="K13:M13"/>
    <mergeCell ref="T4:Z4"/>
    <mergeCell ref="R20:AB20"/>
    <mergeCell ref="A6:P6"/>
    <mergeCell ref="H8:J8"/>
    <mergeCell ref="AI14:AK14"/>
    <mergeCell ref="A16:G16"/>
    <mergeCell ref="N27:P27"/>
    <mergeCell ref="AF27:AH27"/>
    <mergeCell ref="N35:P35"/>
    <mergeCell ref="A25:G25"/>
    <mergeCell ref="H26:J26"/>
    <mergeCell ref="R42:AK42"/>
    <mergeCell ref="R30:AA30"/>
    <mergeCell ref="A39:F39"/>
    <mergeCell ref="R17:AB17"/>
    <mergeCell ref="K15:M15"/>
    <mergeCell ref="AH1:AK1"/>
    <mergeCell ref="AF24:AH24"/>
    <mergeCell ref="R22:AB22"/>
    <mergeCell ref="N25:P25"/>
    <mergeCell ref="AI38:AK38"/>
    <mergeCell ref="AC32:AE32"/>
    <mergeCell ref="AF33:AH33"/>
    <mergeCell ref="AA4:AD4"/>
    <mergeCell ref="K21:M21"/>
    <mergeCell ref="H34:J34"/>
    <mergeCell ref="H9:J9"/>
    <mergeCell ref="K26:M26"/>
    <mergeCell ref="R9:AB9"/>
    <mergeCell ref="AI24:AK24"/>
    <mergeCell ref="AC15:AE15"/>
    <mergeCell ref="R14:AB14"/>
    <mergeCell ref="AF16:AH16"/>
    <mergeCell ref="AC24:AE24"/>
    <mergeCell ref="AF25:AH25"/>
    <mergeCell ref="H36:J36"/>
    <mergeCell ref="A20:G20"/>
    <mergeCell ref="AC8:AE8"/>
    <mergeCell ref="AF9:AH9"/>
    <mergeCell ref="AI26:AK26"/>
    <mergeCell ref="AI41:AK41"/>
    <mergeCell ref="AI35:AK35"/>
    <mergeCell ref="A10:J10"/>
    <mergeCell ref="AC26:AE26"/>
    <mergeCell ref="R4:S4"/>
    <mergeCell ref="A13:G13"/>
    <mergeCell ref="AF15:AH15"/>
    <mergeCell ref="AI16:AK16"/>
    <mergeCell ref="AI25:AK25"/>
    <mergeCell ref="AC10:AE10"/>
    <mergeCell ref="AF11:AH11"/>
    <mergeCell ref="N13:P13"/>
    <mergeCell ref="R24:AB24"/>
    <mergeCell ref="H12:J12"/>
    <mergeCell ref="A15:G15"/>
    <mergeCell ref="AI18:AK18"/>
    <mergeCell ref="A24:P24"/>
    <mergeCell ref="N15:P15"/>
    <mergeCell ref="R36:AH36"/>
    <mergeCell ref="K19:M19"/>
    <mergeCell ref="AC27:AE27"/>
    <mergeCell ref="R26:AB26"/>
    <mergeCell ref="K28:M28"/>
    <mergeCell ref="H14:J14"/>
    <mergeCell ref="G39:P39"/>
    <mergeCell ref="K37:M37"/>
    <mergeCell ref="A3:AC3"/>
    <mergeCell ref="AF4:AI4"/>
    <mergeCell ref="AC17:AE17"/>
    <mergeCell ref="A7:G7"/>
    <mergeCell ref="AI39:AK39"/>
    <mergeCell ref="N26:P26"/>
    <mergeCell ref="AD1:AG1"/>
    <mergeCell ref="D4:Q4"/>
    <mergeCell ref="A41:P41"/>
    <mergeCell ref="N7:P7"/>
    <mergeCell ref="AI29:AK29"/>
    <mergeCell ref="A37:J37"/>
    <mergeCell ref="N16:P16"/>
    <mergeCell ref="A27:G27"/>
    <mergeCell ref="AC28:AE28"/>
    <mergeCell ref="AC12:AE12"/>
    <mergeCell ref="A33:G33"/>
    <mergeCell ref="H25:J25"/>
    <mergeCell ref="AC30:AE30"/>
  </mergeCells>
  <printOptions horizontalCentered="1" verticalCentered="1" headings="0" gridLines="0" gridLinesSet="1"/>
  <pageMargins left="0" right="0" top="0" bottom="0" header="0.511811023622047" footer="0.511811023622047"/>
  <pageSetup orientation="landscape" paperSize="9" scale="85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style="144" min="1" max="1"/>
    <col width="22" customWidth="1" style="144" min="2" max="2"/>
    <col width="24" customWidth="1" style="144" min="3" max="3"/>
    <col width="22" customWidth="1" style="144" min="4" max="4"/>
    <col width="80" customWidth="1" style="144" min="5" max="5"/>
  </cols>
  <sheetData>
    <row r="1">
      <c r="A1" s="145" t="inlineStr">
        <is>
          <t>PARÂMETROS DE PRECIFICAÇÃO - LTCAT / LI / LP</t>
        </is>
      </c>
    </row>
    <row r="2">
      <c r="A2" s="146" t="inlineStr">
        <is>
          <t>Células amarelas: valores que você pode alterar. Todas as fórmulas das outras abas usam estes valores.</t>
        </is>
      </c>
    </row>
    <row r="3">
      <c r="A3" s="270" t="inlineStr">
        <is>
          <t>Parâmetro</t>
        </is>
      </c>
      <c r="B3" s="270" t="inlineStr">
        <is>
          <t>Valor</t>
        </is>
      </c>
      <c r="C3" s="270" t="inlineStr">
        <is>
          <t>Observação</t>
        </is>
      </c>
    </row>
    <row r="4">
      <c r="A4" s="271" t="inlineStr">
        <is>
          <t>Diária completa (R$/dia)</t>
        </is>
      </c>
      <c r="B4" s="272" t="n">
        <v>250</v>
      </c>
      <c r="C4" s="273" t="inlineStr">
        <is>
          <t>Com pernoite.</t>
        </is>
      </c>
    </row>
    <row r="5">
      <c r="A5" s="271" t="inlineStr">
        <is>
          <t>Meia diária (R$/dia)</t>
        </is>
      </c>
      <c r="B5" s="272" t="n">
        <v>90</v>
      </c>
      <c r="C5" s="273" t="inlineStr">
        <is>
          <t>Acima de 150 km (ida) voltando no mesmo dia.</t>
        </is>
      </c>
    </row>
    <row r="6">
      <c r="A6" s="271" t="inlineStr">
        <is>
          <t>Refeição / ajuda de custo (R$/dia)</t>
        </is>
      </c>
      <c r="B6" s="272" t="n">
        <v>55</v>
      </c>
      <c r="C6" s="273" t="inlineStr">
        <is>
          <t>Até 150 km (ida). Laudo paga o almoço independente do km.</t>
        </is>
      </c>
    </row>
    <row r="7">
      <c r="A7" s="271" t="inlineStr">
        <is>
          <t>Km rodado (R$/km)</t>
        </is>
      </c>
      <c r="B7" s="272" t="n">
        <v>2</v>
      </c>
      <c r="C7" s="273" t="inlineStr">
        <is>
          <t>Valor por km (ida e volta).</t>
        </is>
      </c>
    </row>
    <row r="8">
      <c r="A8" s="271" t="inlineStr">
        <is>
          <t>Ida e volta sem cobrança de deslocamento (até km)</t>
        </is>
      </c>
      <c r="B8" s="274" t="n">
        <v>50</v>
      </c>
      <c r="C8" s="273" t="inlineStr">
        <is>
          <t>Se ida + volta der até este valor, não cobra km.</t>
        </is>
      </c>
    </row>
    <row r="9">
      <c r="A9" s="271" t="inlineStr">
        <is>
          <t>Distância (ida) a partir da qual paga diária (km)</t>
        </is>
      </c>
      <c r="B9" s="274" t="n">
        <v>150</v>
      </c>
      <c r="C9" s="273" t="inlineStr">
        <is>
          <t>Acima disto: meia diária (mesmo dia) ou diária completa (pernoite).</t>
        </is>
      </c>
    </row>
    <row r="10">
      <c r="A10" s="271" t="inlineStr">
        <is>
          <t>Hora Engenheiro (R$/h)</t>
        </is>
      </c>
      <c r="B10" s="272" t="n">
        <v>61.19</v>
      </c>
      <c r="C10" s="273" t="inlineStr"/>
    </row>
    <row r="11">
      <c r="A11" s="271" t="inlineStr">
        <is>
          <t>Hora Técnico de Segurança (R$/h)</t>
        </is>
      </c>
      <c r="B11" s="272" t="n">
        <v>24.5</v>
      </c>
      <c r="C11" s="273" t="inlineStr"/>
    </row>
    <row r="12">
      <c r="A12" s="271" t="inlineStr">
        <is>
          <t>ART - CREA (R$)</t>
        </is>
      </c>
      <c r="B12" s="272" t="n">
        <v>250</v>
      </c>
      <c r="C12" s="273" t="inlineStr"/>
    </row>
    <row r="13">
      <c r="A13" s="271" t="inlineStr">
        <is>
          <t>Postagem de amostra (R$/envio)</t>
        </is>
      </c>
      <c r="B13" s="272" t="n">
        <v>70</v>
      </c>
      <c r="C13" s="273" t="inlineStr">
        <is>
          <t>SP-GO e GO-SP. Sugestão automática: 2 envios quando há químico de laboratório.</t>
        </is>
      </c>
    </row>
    <row r="14">
      <c r="A14" s="271" t="inlineStr">
        <is>
          <t>Folha de papel + impressão (R$/folha)</t>
        </is>
      </c>
      <c r="B14" s="272" t="n">
        <v>0.65</v>
      </c>
      <c r="C14" s="273" t="inlineStr"/>
    </row>
    <row r="15">
      <c r="A15" s="271" t="inlineStr">
        <is>
          <t>Folhas por avaliação</t>
        </is>
      </c>
      <c r="B15" s="274" t="n">
        <v>10</v>
      </c>
      <c r="C15" s="273" t="inlineStr">
        <is>
          <t>Material administrativo = nº de avaliações x 10.</t>
        </is>
      </c>
    </row>
    <row r="16">
      <c r="A16" s="271" t="inlineStr">
        <is>
          <t>Lançamento de dados: horas TST por avaliação</t>
        </is>
      </c>
      <c r="B16" s="282" t="n">
        <v>1</v>
      </c>
      <c r="C16" s="273" t="inlineStr"/>
    </row>
    <row r="17">
      <c r="A17" s="271" t="inlineStr">
        <is>
          <t>Lançamento de dados: horas mínimas</t>
        </is>
      </c>
      <c r="B17" s="282" t="n">
        <v>5</v>
      </c>
      <c r="C17" s="273" t="inlineStr"/>
    </row>
    <row r="18">
      <c r="A18" s="271" t="inlineStr">
        <is>
          <t>Revisão de relatório: horas Engenheiro</t>
        </is>
      </c>
      <c r="B18" s="282" t="n">
        <v>5</v>
      </c>
      <c r="C18" s="273" t="inlineStr"/>
    </row>
    <row r="19">
      <c r="A19" s="271" t="inlineStr">
        <is>
          <t>Entrega de relatório: horas Engenheiro</t>
        </is>
      </c>
      <c r="B19" s="282" t="n">
        <v>0</v>
      </c>
      <c r="C19" s="273" t="inlineStr"/>
    </row>
    <row r="20">
      <c r="A20" s="271" t="inlineStr">
        <is>
          <t>Dosimetria: % dos expostos do GHE</t>
        </is>
      </c>
      <c r="B20" s="276" t="n">
        <v>0.2</v>
      </c>
      <c r="C20" s="273" t="inlineStr"/>
    </row>
    <row r="21">
      <c r="A21" s="271" t="inlineStr">
        <is>
          <t>Dosimetria: aplica o % quando expostos acima de</t>
        </is>
      </c>
      <c r="B21" s="274" t="n">
        <v>9</v>
      </c>
      <c r="C21" s="273" t="inlineStr">
        <is>
          <t>Até 9 expostos: 1 dosimetria por GHE.</t>
        </is>
      </c>
    </row>
    <row r="22">
      <c r="A22" s="271" t="inlineStr">
        <is>
          <t>Avaliação qualitativa (R$) quando há mais de uma</t>
        </is>
      </c>
      <c r="B22" s="272" t="n">
        <v>150</v>
      </c>
      <c r="C22" s="273" t="inlineStr"/>
    </row>
    <row r="23">
      <c r="A23" s="271" t="inlineStr">
        <is>
          <t>Avaliação qualitativa (R$) quando é a única</t>
        </is>
      </c>
      <c r="B23" s="272" t="n">
        <v>300</v>
      </c>
      <c r="C23" s="273" t="inlineStr"/>
    </row>
    <row r="24">
      <c r="A24" s="271" t="inlineStr">
        <is>
          <t>Laudo de ausência de risco (valor fechado, R$)</t>
        </is>
      </c>
      <c r="B24" s="272" t="n">
        <v>1500</v>
      </c>
      <c r="C24" s="273" t="inlineStr">
        <is>
          <t>Vale para LTCAT e LI quando não há nenhuma avaliação.</t>
        </is>
      </c>
    </row>
    <row r="25">
      <c r="A25" s="271" t="inlineStr">
        <is>
          <t>BDI (%)</t>
        </is>
      </c>
      <c r="B25" s="276" t="n">
        <v>0.3</v>
      </c>
      <c r="C25" s="273" t="inlineStr"/>
    </row>
    <row r="26">
      <c r="A26" s="271" t="inlineStr">
        <is>
          <t>Desconto exclusivo (%)</t>
        </is>
      </c>
      <c r="B26" s="276" t="n">
        <v>0</v>
      </c>
      <c r="C26" s="273" t="inlineStr"/>
    </row>
    <row r="27"/>
    <row r="28"/>
    <row r="29">
      <c r="A29" s="147" t="inlineStr">
        <is>
          <t>TIPOS DE AVALIAÇÃO</t>
        </is>
      </c>
    </row>
    <row r="30">
      <c r="A30" s="277" t="inlineStr">
        <is>
          <t>Tipo de avaliação</t>
        </is>
      </c>
      <c r="B30" s="277" t="inlineStr">
        <is>
          <t>Horas TST por avaliação</t>
        </is>
      </c>
      <c r="C30" s="277" t="inlineStr">
        <is>
          <t>Avaliações por dia (campo)</t>
        </is>
      </c>
      <c r="D30" s="277" t="inlineStr">
        <is>
          <t>Valor unitário fixo (R$)</t>
        </is>
      </c>
      <c r="E30" s="277" t="inlineStr">
        <is>
          <t>Regra de quantidade</t>
        </is>
      </c>
    </row>
    <row r="31">
      <c r="A31" s="271" t="inlineStr">
        <is>
          <t>Ruído (dosimetria)</t>
        </is>
      </c>
      <c r="B31" s="282" t="n">
        <v>10</v>
      </c>
      <c r="C31" s="274" t="n">
        <v>6</v>
      </c>
      <c r="D31" s="272" t="n">
        <v>0</v>
      </c>
      <c r="E31" s="273" t="inlineStr">
        <is>
          <t>20% dos expostos do GHE quando acima de 9; senão 1. Custo entra nas horas técnicas.</t>
        </is>
      </c>
    </row>
    <row r="32">
      <c r="A32" s="271" t="inlineStr">
        <is>
          <t>Calor (IBUTG)</t>
        </is>
      </c>
      <c r="B32" s="282" t="n">
        <v>4</v>
      </c>
      <c r="C32" s="274" t="n">
        <v>2</v>
      </c>
      <c r="D32" s="272" t="n">
        <v>0</v>
      </c>
      <c r="E32" s="273" t="inlineStr">
        <is>
          <t>1 por GHE. Custo entra nas horas técnicas (4 h por medição).</t>
        </is>
      </c>
    </row>
    <row r="33">
      <c r="A33" s="271" t="inlineStr">
        <is>
          <t>Vibração corpo inteiro</t>
        </is>
      </c>
      <c r="B33" s="282" t="n">
        <v>5</v>
      </c>
      <c r="C33" s="274" t="n">
        <v>6</v>
      </c>
      <c r="D33" s="272" t="n">
        <v>300</v>
      </c>
      <c r="E33" s="273" t="inlineStr">
        <is>
          <t>1 por GHE. Preço fixo + horas técnicas.</t>
        </is>
      </c>
    </row>
    <row r="34">
      <c r="A34" s="271" t="inlineStr">
        <is>
          <t>Vibração mãos e braços</t>
        </is>
      </c>
      <c r="B34" s="282" t="n">
        <v>5</v>
      </c>
      <c r="C34" s="274" t="n">
        <v>6</v>
      </c>
      <c r="D34" s="272" t="n">
        <v>300</v>
      </c>
      <c r="E34" s="273" t="inlineStr">
        <is>
          <t>1 por GHE. Preço fixo + horas técnicas.</t>
        </is>
      </c>
    </row>
    <row r="35">
      <c r="A35" s="271" t="inlineStr">
        <is>
          <t>Químico (laboratório)</t>
        </is>
      </c>
      <c r="B35" s="282" t="n">
        <v>2</v>
      </c>
      <c r="C35" s="274" t="n">
        <v>5</v>
      </c>
      <c r="D35" s="272" t="n">
        <v>0</v>
      </c>
      <c r="E35" s="273" t="inlineStr">
        <is>
          <t>1 amostrador por GHE. Preço da Tabela de Exames 2026/2027. Varredura quando compensar.</t>
        </is>
      </c>
    </row>
    <row r="36">
      <c r="A36" s="271" t="inlineStr">
        <is>
          <t>Avaliação qualitativa</t>
        </is>
      </c>
      <c r="B36" s="282" t="n">
        <v>1</v>
      </c>
      <c r="C36" s="274" t="n">
        <v>10</v>
      </c>
      <c r="D36" s="272" t="n">
        <v>0</v>
      </c>
      <c r="E36" s="273" t="inlineStr">
        <is>
          <t>R$ 150 por avaliação; R$ 300 quando é a única avaliação do orçamento.</t>
        </is>
      </c>
    </row>
    <row r="37">
      <c r="A37" s="271" t="inlineStr">
        <is>
          <t>Ausência de risco</t>
        </is>
      </c>
      <c r="B37" s="282" t="n">
        <v>0</v>
      </c>
      <c r="C37" s="274" t="n">
        <v>0</v>
      </c>
      <c r="D37" s="272" t="n">
        <v>0</v>
      </c>
      <c r="E37" s="273" t="inlineStr">
        <is>
          <t>Não gera avaliação. Se o laudo inteiro for de ausência, vale o valor fechado (Parâmetros).</t>
        </is>
      </c>
    </row>
    <row r="38">
      <c r="A38" s="271" t="inlineStr">
        <is>
          <t>Periculosidade (por cargo)</t>
        </is>
      </c>
      <c r="B38" s="282" t="n">
        <v>0</v>
      </c>
      <c r="C38" s="274" t="n">
        <v>0</v>
      </c>
      <c r="D38" s="272" t="n">
        <v>1500</v>
      </c>
      <c r="E38" s="273" t="inlineStr">
        <is>
          <t>Laudo de Periculosidade: R$ 1.500 por cargo na região; quando são muitos cargos, R$ 800 (mude o valor aqui). Fora da cidade, somar km, diárias e ART.</t>
        </is>
      </c>
    </row>
    <row r="39"/>
    <row r="40"/>
    <row r="41">
      <c r="A41" s="146" t="inlineStr">
        <is>
          <t>Fonte dos valores: Planilha de Custos SESI DR/GO 2026, anotações de precificação da Central de SST e 3º Termo Aditivo Uniscientific (25/06/2026).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44" min="1" max="1"/>
    <col width="62" customWidth="1" style="144" min="2" max="2"/>
    <col width="20" customWidth="1" style="144" min="3" max="3"/>
    <col width="20" customWidth="1" style="144" min="4" max="4"/>
    <col width="10" customWidth="1" style="144" min="5" max="5"/>
  </cols>
  <sheetData>
    <row r="1">
      <c r="A1" s="277" t="inlineStr">
        <is>
          <t>Item</t>
        </is>
      </c>
      <c r="B1" s="277" t="inlineStr">
        <is>
          <t>Descrição do Agente / Exame</t>
        </is>
      </c>
      <c r="C1" s="277" t="inlineStr">
        <is>
          <t>Valor 2025/2026 (R$)</t>
        </is>
      </c>
      <c r="D1" s="277" t="inlineStr">
        <is>
          <t>Valor 2026/2027 (R$)</t>
        </is>
      </c>
      <c r="E1" s="277" t="inlineStr">
        <is>
          <t>Variação</t>
        </is>
      </c>
    </row>
    <row r="2">
      <c r="A2" s="155" t="n">
        <v>1</v>
      </c>
      <c r="B2" s="155" t="inlineStr">
        <is>
          <t>1,3-Butadieno</t>
        </is>
      </c>
      <c r="C2" s="156" t="n">
        <v>176.4</v>
      </c>
      <c r="D2" s="156" t="n">
        <v>176.4</v>
      </c>
      <c r="E2" s="278" t="n">
        <v>0</v>
      </c>
    </row>
    <row r="3">
      <c r="A3" s="155" t="n">
        <v>2</v>
      </c>
      <c r="B3" s="155" t="inlineStr">
        <is>
          <t>1,4-Dioxano</t>
        </is>
      </c>
      <c r="C3" s="156" t="n">
        <v>258.72</v>
      </c>
      <c r="D3" s="156" t="n">
        <v>258.72</v>
      </c>
      <c r="E3" s="278" t="n">
        <v>0</v>
      </c>
    </row>
    <row r="4">
      <c r="A4" s="155" t="n">
        <v>3</v>
      </c>
      <c r="B4" s="155" t="inlineStr">
        <is>
          <t>1-Metil naftaleno e 2-Metil naftaleno</t>
        </is>
      </c>
      <c r="C4" s="156" t="n">
        <v>194.04</v>
      </c>
      <c r="D4" s="156" t="n">
        <v>194.04</v>
      </c>
      <c r="E4" s="278" t="n">
        <v>0</v>
      </c>
    </row>
    <row r="5">
      <c r="A5" s="155" t="n">
        <v>4</v>
      </c>
      <c r="B5" s="155" t="inlineStr">
        <is>
          <t>1-Metoxi-2-propanol</t>
        </is>
      </c>
      <c r="C5" s="156" t="n">
        <v>97.2</v>
      </c>
      <c r="D5" s="156" t="n">
        <v>115</v>
      </c>
      <c r="E5" s="278" t="n">
        <v>0.18</v>
      </c>
    </row>
    <row r="6">
      <c r="A6" s="155" t="n">
        <v>5</v>
      </c>
      <c r="B6" s="155" t="inlineStr">
        <is>
          <t>2,4-D</t>
        </is>
      </c>
      <c r="C6" s="156" t="n">
        <v>305.76</v>
      </c>
      <c r="D6" s="156" t="n">
        <v>305.76</v>
      </c>
      <c r="E6" s="278" t="n">
        <v>0</v>
      </c>
    </row>
    <row r="7">
      <c r="A7" s="155" t="n">
        <v>6</v>
      </c>
      <c r="B7" s="155" t="inlineStr">
        <is>
          <t>2-Butóxi etanol (EGBE)</t>
        </is>
      </c>
      <c r="C7" s="156" t="n">
        <v>88.2</v>
      </c>
      <c r="D7" s="156" t="n">
        <v>94</v>
      </c>
      <c r="E7" s="278" t="n">
        <v>0.07000000000000001</v>
      </c>
    </row>
    <row r="8">
      <c r="A8" s="155" t="n">
        <v>7</v>
      </c>
      <c r="B8" s="155" t="inlineStr">
        <is>
          <t>2-Cianoacrilato de etila</t>
        </is>
      </c>
      <c r="C8" s="156" t="n">
        <v>383.67</v>
      </c>
      <c r="D8" s="156" t="n">
        <v>383.67</v>
      </c>
      <c r="E8" s="278" t="n">
        <v>0</v>
      </c>
    </row>
    <row r="9">
      <c r="A9" s="155" t="n">
        <v>8</v>
      </c>
      <c r="B9" s="155" t="inlineStr">
        <is>
          <t>2-Etoxietanol</t>
        </is>
      </c>
      <c r="C9" s="156" t="n">
        <v>88.2</v>
      </c>
      <c r="D9" s="156" t="n">
        <v>94</v>
      </c>
      <c r="E9" s="278" t="n">
        <v>0.07000000000000001</v>
      </c>
    </row>
    <row r="10">
      <c r="A10" s="155" t="n">
        <v>9</v>
      </c>
      <c r="B10" s="155" t="inlineStr">
        <is>
          <t>2-Metoxietanol</t>
        </is>
      </c>
      <c r="C10" s="156" t="n">
        <v>99.95999999999999</v>
      </c>
      <c r="D10" s="156" t="n">
        <v>105</v>
      </c>
      <c r="E10" s="278" t="n">
        <v>0.05</v>
      </c>
    </row>
    <row r="11">
      <c r="A11" s="155" t="n">
        <v>10</v>
      </c>
      <c r="B11" s="155" t="inlineStr">
        <is>
          <t>2-N-Dibutilaminoetanol</t>
        </is>
      </c>
      <c r="C11" s="156" t="n">
        <v>88.2</v>
      </c>
      <c r="D11" s="156" t="n">
        <v>94</v>
      </c>
      <c r="E11" s="278" t="n">
        <v>0.07000000000000001</v>
      </c>
    </row>
    <row r="12">
      <c r="A12" s="155" t="n">
        <v>11</v>
      </c>
      <c r="B12" s="155" t="inlineStr">
        <is>
          <t>2-Propanol</t>
        </is>
      </c>
      <c r="C12" s="156" t="n">
        <v>88.2</v>
      </c>
      <c r="D12" s="156" t="n">
        <v>94</v>
      </c>
      <c r="E12" s="278" t="n">
        <v>0.07000000000000001</v>
      </c>
    </row>
    <row r="13">
      <c r="A13" s="155" t="n">
        <v>12</v>
      </c>
      <c r="B13" s="155" t="inlineStr">
        <is>
          <t>4,4-Metileno-bis-(2-cloroanilina) (MOCA)</t>
        </is>
      </c>
      <c r="C13" s="156" t="n">
        <v>123.48</v>
      </c>
      <c r="D13" s="156" t="n">
        <v>130</v>
      </c>
      <c r="E13" s="278" t="n">
        <v>0.05</v>
      </c>
    </row>
    <row r="14">
      <c r="A14" s="155" t="n">
        <v>13</v>
      </c>
      <c r="B14" s="155" t="inlineStr">
        <is>
          <t>Abamectina</t>
        </is>
      </c>
      <c r="C14" s="156" t="n">
        <v>295.18</v>
      </c>
      <c r="D14" s="156" t="n">
        <v>295.18</v>
      </c>
      <c r="E14" s="278" t="n">
        <v>0</v>
      </c>
    </row>
    <row r="15">
      <c r="A15" s="155" t="n">
        <v>14</v>
      </c>
      <c r="B15" s="155" t="inlineStr">
        <is>
          <t>Acenafteno</t>
        </is>
      </c>
      <c r="C15" s="156" t="n">
        <v>194.04</v>
      </c>
      <c r="D15" s="156" t="n">
        <v>194.04</v>
      </c>
      <c r="E15" s="278" t="n">
        <v>0</v>
      </c>
    </row>
    <row r="16">
      <c r="A16" s="155" t="n">
        <v>15</v>
      </c>
      <c r="B16" s="155" t="inlineStr">
        <is>
          <t>Acenaftileno</t>
        </is>
      </c>
      <c r="C16" s="156" t="n">
        <v>194.04</v>
      </c>
      <c r="D16" s="156" t="n">
        <v>194.04</v>
      </c>
      <c r="E16" s="278" t="n">
        <v>0</v>
      </c>
    </row>
    <row r="17">
      <c r="A17" s="155" t="n">
        <v>16</v>
      </c>
      <c r="B17" s="155" t="inlineStr">
        <is>
          <t>Acetaldeído</t>
        </is>
      </c>
      <c r="C17" s="156" t="n">
        <v>194.04</v>
      </c>
      <c r="D17" s="156" t="n">
        <v>194.04</v>
      </c>
      <c r="E17" s="278" t="n">
        <v>0</v>
      </c>
    </row>
    <row r="18">
      <c r="A18" s="155" t="n">
        <v>17</v>
      </c>
      <c r="B18" s="155" t="inlineStr">
        <is>
          <t>Acetato de 1-metóxi-2-propanol</t>
        </is>
      </c>
      <c r="C18" s="156" t="n">
        <v>99.2</v>
      </c>
      <c r="D18" s="156" t="n">
        <v>115</v>
      </c>
      <c r="E18" s="278" t="n">
        <v>0.16</v>
      </c>
    </row>
    <row r="19">
      <c r="A19" s="155" t="n">
        <v>18</v>
      </c>
      <c r="B19" s="155" t="inlineStr">
        <is>
          <t>Acetato de 2-butoxietila</t>
        </is>
      </c>
      <c r="C19" s="156" t="n">
        <v>88.2</v>
      </c>
      <c r="D19" s="156" t="n">
        <v>94</v>
      </c>
      <c r="E19" s="278" t="n">
        <v>0.07000000000000001</v>
      </c>
    </row>
    <row r="20">
      <c r="A20" s="155" t="n">
        <v>19</v>
      </c>
      <c r="B20" s="155" t="inlineStr">
        <is>
          <t>Acetato de 2-etoxietila</t>
        </is>
      </c>
      <c r="C20" s="156" t="n">
        <v>88.2</v>
      </c>
      <c r="D20" s="156" t="n">
        <v>94</v>
      </c>
      <c r="E20" s="278" t="n">
        <v>0.07000000000000001</v>
      </c>
    </row>
    <row r="21">
      <c r="A21" s="155" t="n">
        <v>20</v>
      </c>
      <c r="B21" s="155" t="inlineStr">
        <is>
          <t>Acetato de 2-metoxietila</t>
        </is>
      </c>
      <c r="C21" s="156" t="n">
        <v>88.2</v>
      </c>
      <c r="D21" s="156" t="n">
        <v>94</v>
      </c>
      <c r="E21" s="278" t="n">
        <v>0.07000000000000001</v>
      </c>
    </row>
    <row r="22">
      <c r="A22" s="155" t="n">
        <v>21</v>
      </c>
      <c r="B22" s="155" t="inlineStr">
        <is>
          <t>Acetato de benzila</t>
        </is>
      </c>
      <c r="C22" s="156" t="n">
        <v>88.2</v>
      </c>
      <c r="D22" s="156" t="n">
        <v>94</v>
      </c>
      <c r="E22" s="278" t="n">
        <v>0.07000000000000001</v>
      </c>
    </row>
    <row r="23">
      <c r="A23" s="155" t="n">
        <v>22</v>
      </c>
      <c r="B23" s="155" t="inlineStr">
        <is>
          <t>Acetato de butila, todos os isômeros</t>
        </is>
      </c>
      <c r="C23" s="156" t="n">
        <v>88.2</v>
      </c>
      <c r="D23" s="156" t="n">
        <v>123</v>
      </c>
      <c r="E23" s="278" t="n">
        <v>0.39</v>
      </c>
    </row>
    <row r="24">
      <c r="A24" s="155" t="n">
        <v>23</v>
      </c>
      <c r="B24" s="155" t="inlineStr">
        <is>
          <t>Acetato de etila</t>
        </is>
      </c>
      <c r="C24" s="156" t="n">
        <v>88.2</v>
      </c>
      <c r="D24" s="156" t="n">
        <v>94</v>
      </c>
      <c r="E24" s="278" t="n">
        <v>0.07000000000000001</v>
      </c>
    </row>
    <row r="25">
      <c r="A25" s="155" t="n">
        <v>24</v>
      </c>
      <c r="B25" s="155" t="inlineStr">
        <is>
          <t>Acetato de Isopentila</t>
        </is>
      </c>
      <c r="C25" s="156" t="n">
        <v>82.31999999999999</v>
      </c>
      <c r="D25" s="156" t="n">
        <v>123</v>
      </c>
      <c r="E25" s="278" t="n">
        <v>0.49</v>
      </c>
    </row>
    <row r="26">
      <c r="A26" s="155" t="n">
        <v>25</v>
      </c>
      <c r="B26" s="155" t="inlineStr">
        <is>
          <t>Acetato de metila</t>
        </is>
      </c>
      <c r="C26" s="156" t="n">
        <v>88.2</v>
      </c>
      <c r="D26" s="156" t="n">
        <v>94</v>
      </c>
      <c r="E26" s="278" t="n">
        <v>0.07000000000000001</v>
      </c>
    </row>
    <row r="27">
      <c r="A27" s="155" t="n">
        <v>26</v>
      </c>
      <c r="B27" s="155" t="inlineStr">
        <is>
          <t>Acetato de pentila, todos os isômeros</t>
        </is>
      </c>
      <c r="C27" s="156" t="n">
        <v>99.95999999999999</v>
      </c>
      <c r="D27" s="156" t="n">
        <v>143</v>
      </c>
      <c r="E27" s="278" t="n">
        <v>0.43</v>
      </c>
    </row>
    <row r="28">
      <c r="A28" s="155" t="n">
        <v>27</v>
      </c>
      <c r="B28" s="155" t="inlineStr">
        <is>
          <t>Acetato de propila isômeros</t>
        </is>
      </c>
      <c r="C28" s="156" t="n">
        <v>97.2</v>
      </c>
      <c r="D28" s="156" t="n">
        <v>110</v>
      </c>
      <c r="E28" s="278" t="n">
        <v>0.13</v>
      </c>
    </row>
    <row r="29">
      <c r="A29" s="155" t="n">
        <v>28</v>
      </c>
      <c r="B29" s="155" t="inlineStr">
        <is>
          <t>Acetato de vinila</t>
        </is>
      </c>
      <c r="C29" s="156" t="n">
        <v>99.95999999999999</v>
      </c>
      <c r="D29" s="156" t="n">
        <v>115</v>
      </c>
      <c r="E29" s="278" t="n">
        <v>0.15</v>
      </c>
    </row>
    <row r="30">
      <c r="A30" s="155" t="n">
        <v>29</v>
      </c>
      <c r="B30" s="155" t="inlineStr">
        <is>
          <t>Acetato do Éter Metílico do Monopropileno Glicol</t>
        </is>
      </c>
      <c r="C30" s="156" t="n">
        <v>88.2</v>
      </c>
      <c r="D30" s="156" t="n">
        <v>94</v>
      </c>
      <c r="E30" s="278" t="n">
        <v>0.07000000000000001</v>
      </c>
    </row>
    <row r="31">
      <c r="A31" s="155" t="n">
        <v>30</v>
      </c>
      <c r="B31" s="155" t="inlineStr">
        <is>
          <t>Acetofenona</t>
        </is>
      </c>
      <c r="C31" s="156" t="n">
        <v>313.99</v>
      </c>
      <c r="D31" s="156" t="n">
        <v>313.99</v>
      </c>
      <c r="E31" s="278" t="n">
        <v>0</v>
      </c>
    </row>
    <row r="32">
      <c r="A32" s="155" t="n">
        <v>31</v>
      </c>
      <c r="B32" s="155" t="inlineStr">
        <is>
          <t>Acetona</t>
        </is>
      </c>
      <c r="C32" s="156" t="n">
        <v>88.2</v>
      </c>
      <c r="D32" s="156" t="n">
        <v>94</v>
      </c>
      <c r="E32" s="278" t="n">
        <v>0.07000000000000001</v>
      </c>
    </row>
    <row r="33">
      <c r="A33" s="155" t="n">
        <v>32</v>
      </c>
      <c r="B33" s="155" t="inlineStr">
        <is>
          <t>Acetonitrila</t>
        </is>
      </c>
      <c r="C33" s="156" t="n">
        <v>88.2</v>
      </c>
      <c r="D33" s="156" t="n">
        <v>94</v>
      </c>
      <c r="E33" s="278" t="n">
        <v>0.07000000000000001</v>
      </c>
    </row>
    <row r="34">
      <c r="A34" s="155" t="n">
        <v>33</v>
      </c>
      <c r="B34" s="155" t="inlineStr">
        <is>
          <t>Ácido acético</t>
        </is>
      </c>
      <c r="C34" s="156" t="n">
        <v>129.36</v>
      </c>
      <c r="D34" s="156" t="n">
        <v>135</v>
      </c>
      <c r="E34" s="278" t="n">
        <v>0.04</v>
      </c>
    </row>
    <row r="35">
      <c r="A35" s="155" t="n">
        <v>34</v>
      </c>
      <c r="B35" s="155" t="inlineStr">
        <is>
          <t>Ácido acrílico</t>
        </is>
      </c>
      <c r="C35" s="156" t="n">
        <v>205.8</v>
      </c>
      <c r="D35" s="156" t="n">
        <v>205.8</v>
      </c>
      <c r="E35" s="278" t="n">
        <v>0</v>
      </c>
    </row>
    <row r="36">
      <c r="A36" s="155" t="n">
        <v>35</v>
      </c>
      <c r="B36" s="155" t="inlineStr">
        <is>
          <t>Ácido adípico</t>
        </is>
      </c>
      <c r="C36" s="156" t="n">
        <v>258.72</v>
      </c>
      <c r="D36" s="156" t="n">
        <v>258.72</v>
      </c>
      <c r="E36" s="278" t="n">
        <v>0</v>
      </c>
    </row>
    <row r="37">
      <c r="A37" s="155" t="n">
        <v>36</v>
      </c>
      <c r="B37" s="155" t="inlineStr">
        <is>
          <t>Ácido Crômico</t>
        </is>
      </c>
      <c r="C37" s="156" t="n">
        <v>129.36</v>
      </c>
      <c r="D37" s="156" t="n">
        <v>135</v>
      </c>
      <c r="E37" s="278" t="n">
        <v>0.04</v>
      </c>
    </row>
    <row r="38">
      <c r="A38" s="155" t="n">
        <v>37</v>
      </c>
      <c r="B38" s="155" t="inlineStr">
        <is>
          <t>Ácido fórmico</t>
        </is>
      </c>
      <c r="C38" s="156" t="n">
        <v>152.88</v>
      </c>
      <c r="D38" s="156" t="n">
        <v>155</v>
      </c>
      <c r="E38" s="278" t="n">
        <v>0.01</v>
      </c>
    </row>
    <row r="39">
      <c r="A39" s="155" t="n">
        <v>38</v>
      </c>
      <c r="B39" s="155" t="inlineStr">
        <is>
          <t>Ácido fosfórico</t>
        </is>
      </c>
      <c r="C39" s="156" t="n">
        <v>152.88</v>
      </c>
      <c r="D39" s="156" t="n">
        <v>155</v>
      </c>
      <c r="E39" s="278" t="n">
        <v>0.01</v>
      </c>
    </row>
    <row r="40">
      <c r="A40" s="155" t="n">
        <v>39</v>
      </c>
      <c r="B40" s="155" t="inlineStr">
        <is>
          <t>Ácido metacrílico</t>
        </is>
      </c>
      <c r="C40" s="156" t="n">
        <v>205.8</v>
      </c>
      <c r="D40" s="156" t="n">
        <v>205.8</v>
      </c>
      <c r="E40" s="278" t="n">
        <v>0</v>
      </c>
    </row>
    <row r="41">
      <c r="A41" s="155" t="n">
        <v>40</v>
      </c>
      <c r="B41" s="155" t="inlineStr">
        <is>
          <t>Ácido nítrico</t>
        </is>
      </c>
      <c r="C41" s="156" t="n">
        <v>137.36</v>
      </c>
      <c r="D41" s="156" t="n">
        <v>150</v>
      </c>
      <c r="E41" s="278" t="n">
        <v>0.09</v>
      </c>
    </row>
    <row r="42">
      <c r="A42" s="155" t="n">
        <v>41</v>
      </c>
      <c r="B42" s="155" t="inlineStr">
        <is>
          <t>Ácido peracético</t>
        </is>
      </c>
      <c r="C42" s="156" t="n">
        <v>211.68</v>
      </c>
      <c r="D42" s="156" t="n">
        <v>211.68</v>
      </c>
      <c r="E42" s="278" t="n">
        <v>0</v>
      </c>
    </row>
    <row r="43">
      <c r="A43" s="155" t="n">
        <v>42</v>
      </c>
      <c r="B43" s="155" t="inlineStr">
        <is>
          <t>Ácido sulfúrico</t>
        </is>
      </c>
      <c r="C43" s="156" t="n">
        <v>129.36</v>
      </c>
      <c r="D43" s="156" t="n">
        <v>135</v>
      </c>
      <c r="E43" s="278" t="n">
        <v>0.04</v>
      </c>
    </row>
    <row r="44">
      <c r="A44" s="155" t="n">
        <v>43</v>
      </c>
      <c r="B44" s="155" t="inlineStr">
        <is>
          <t>Acrilato de etila</t>
        </is>
      </c>
      <c r="C44" s="156" t="n">
        <v>88.2</v>
      </c>
      <c r="D44" s="156" t="n">
        <v>94</v>
      </c>
      <c r="E44" s="278" t="n">
        <v>0.07000000000000001</v>
      </c>
    </row>
    <row r="45">
      <c r="A45" s="155" t="n">
        <v>44</v>
      </c>
      <c r="B45" s="155" t="inlineStr">
        <is>
          <t>Acrilato de metila</t>
        </is>
      </c>
      <c r="C45" s="156" t="n">
        <v>88.2</v>
      </c>
      <c r="D45" s="156" t="n">
        <v>94</v>
      </c>
      <c r="E45" s="278" t="n">
        <v>0.07000000000000001</v>
      </c>
    </row>
    <row r="46">
      <c r="A46" s="155" t="n">
        <v>45</v>
      </c>
      <c r="B46" s="155" t="inlineStr">
        <is>
          <t>Acrilato de n-butila</t>
        </is>
      </c>
      <c r="C46" s="156" t="n">
        <v>88.2</v>
      </c>
      <c r="D46" s="156" t="n">
        <v>94</v>
      </c>
      <c r="E46" s="278" t="n">
        <v>0.07000000000000001</v>
      </c>
    </row>
    <row r="47">
      <c r="A47" s="155" t="n">
        <v>46</v>
      </c>
      <c r="B47" s="155" t="inlineStr">
        <is>
          <t>Acrilonitrila</t>
        </is>
      </c>
      <c r="C47" s="156" t="n">
        <v>129.36</v>
      </c>
      <c r="D47" s="156" t="n">
        <v>135</v>
      </c>
      <c r="E47" s="278" t="n">
        <v>0.04</v>
      </c>
    </row>
    <row r="48">
      <c r="A48" s="155" t="n">
        <v>47</v>
      </c>
      <c r="B48" s="155" t="inlineStr">
        <is>
          <t>Aguarrás mineral (Solvente de Stoddard)</t>
        </is>
      </c>
      <c r="C48" s="156" t="n">
        <v>88.2</v>
      </c>
      <c r="D48" s="156" t="n">
        <v>94</v>
      </c>
      <c r="E48" s="278" t="n">
        <v>0.07000000000000001</v>
      </c>
    </row>
    <row r="49">
      <c r="A49" s="155" t="n">
        <v>48</v>
      </c>
      <c r="B49" s="155" t="inlineStr">
        <is>
          <t>Álcool benzílico</t>
        </is>
      </c>
      <c r="C49" s="156" t="n">
        <v>305.76</v>
      </c>
      <c r="D49" s="156" t="n">
        <v>305.76</v>
      </c>
      <c r="E49" s="278" t="n">
        <v>0</v>
      </c>
    </row>
    <row r="50">
      <c r="A50" s="155" t="n">
        <v>49</v>
      </c>
      <c r="B50" s="155" t="inlineStr">
        <is>
          <t>Álcool furfurílico</t>
        </is>
      </c>
      <c r="C50" s="156" t="n">
        <v>376.32</v>
      </c>
      <c r="D50" s="156" t="n">
        <v>376.32</v>
      </c>
      <c r="E50" s="278" t="n">
        <v>0</v>
      </c>
    </row>
    <row r="51">
      <c r="A51" s="155" t="n">
        <v>50</v>
      </c>
      <c r="B51" s="155" t="inlineStr">
        <is>
          <t>Álcool isoamílico</t>
        </is>
      </c>
      <c r="C51" s="156" t="n">
        <v>88.2</v>
      </c>
      <c r="D51" s="156" t="n">
        <v>94</v>
      </c>
      <c r="E51" s="278" t="n">
        <v>0.07000000000000001</v>
      </c>
    </row>
    <row r="52">
      <c r="A52" s="155" t="n">
        <v>51</v>
      </c>
      <c r="B52" s="155" t="inlineStr">
        <is>
          <t>Álcool isobutílico</t>
        </is>
      </c>
      <c r="C52" s="156" t="n">
        <v>88.2</v>
      </c>
      <c r="D52" s="156" t="n">
        <v>94</v>
      </c>
      <c r="E52" s="278" t="n">
        <v>0.07000000000000001</v>
      </c>
    </row>
    <row r="53">
      <c r="A53" s="155" t="n">
        <v>52</v>
      </c>
      <c r="B53" s="155" t="inlineStr">
        <is>
          <t>Álcool n-butílico</t>
        </is>
      </c>
      <c r="C53" s="156" t="n">
        <v>88.2</v>
      </c>
      <c r="D53" s="156" t="n">
        <v>94</v>
      </c>
      <c r="E53" s="278" t="n">
        <v>0.07000000000000001</v>
      </c>
    </row>
    <row r="54">
      <c r="A54" s="155" t="n">
        <v>53</v>
      </c>
      <c r="B54" s="155" t="inlineStr">
        <is>
          <t>Álcool sec-butílico</t>
        </is>
      </c>
      <c r="C54" s="156" t="n">
        <v>88.2</v>
      </c>
      <c r="D54" s="156" t="n">
        <v>94</v>
      </c>
      <c r="E54" s="278" t="n">
        <v>0.07000000000000001</v>
      </c>
    </row>
    <row r="55">
      <c r="A55" s="155" t="n">
        <v>54</v>
      </c>
      <c r="B55" s="155" t="inlineStr">
        <is>
          <t>Álcool terc-butílico</t>
        </is>
      </c>
      <c r="C55" s="156" t="n">
        <v>88.2</v>
      </c>
      <c r="D55" s="156" t="n">
        <v>94</v>
      </c>
      <c r="E55" s="278" t="n">
        <v>0.07000000000000001</v>
      </c>
    </row>
    <row r="56">
      <c r="A56" s="155" t="n">
        <v>55</v>
      </c>
      <c r="B56" s="155" t="inlineStr">
        <is>
          <t>Algodão, bruto, sem tratamento, poeira</t>
        </is>
      </c>
      <c r="C56" s="156" t="n">
        <v>47.04</v>
      </c>
      <c r="D56" s="156" t="n">
        <v>50</v>
      </c>
      <c r="E56" s="278" t="n">
        <v>0.06</v>
      </c>
    </row>
    <row r="57">
      <c r="A57" s="155" t="n">
        <v>56</v>
      </c>
      <c r="B57" s="155" t="inlineStr">
        <is>
          <t>Alumínio metal e compostos insolúveis</t>
        </is>
      </c>
      <c r="C57" s="156" t="n">
        <v>76.44</v>
      </c>
      <c r="D57" s="156" t="n">
        <v>76.44</v>
      </c>
      <c r="E57" s="278" t="n">
        <v>0</v>
      </c>
    </row>
    <row r="58">
      <c r="A58" s="155" t="n">
        <v>57</v>
      </c>
      <c r="B58" s="155" t="inlineStr">
        <is>
          <t>Amido</t>
        </is>
      </c>
      <c r="C58" s="156" t="n">
        <v>47.04</v>
      </c>
      <c r="D58" s="156" t="n">
        <v>50</v>
      </c>
      <c r="E58" s="278" t="n">
        <v>0.06</v>
      </c>
    </row>
    <row r="59">
      <c r="A59" s="155" t="n">
        <v>58</v>
      </c>
      <c r="B59" s="155" t="inlineStr">
        <is>
          <t>Amônia</t>
        </is>
      </c>
      <c r="C59" s="156" t="n">
        <v>111.72</v>
      </c>
      <c r="D59" s="156" t="n">
        <v>115</v>
      </c>
      <c r="E59" s="278" t="n">
        <v>0.03</v>
      </c>
    </row>
    <row r="60">
      <c r="A60" s="155" t="n">
        <v>59</v>
      </c>
      <c r="B60" s="155" t="inlineStr">
        <is>
          <t>Anidrido ftálico (FIV)</t>
        </is>
      </c>
      <c r="C60" s="156" t="n">
        <v>246.96</v>
      </c>
      <c r="D60" s="156" t="n">
        <v>246.96</v>
      </c>
      <c r="E60" s="278" t="n">
        <v>0</v>
      </c>
    </row>
    <row r="61">
      <c r="A61" s="155" t="n">
        <v>60</v>
      </c>
      <c r="B61" s="155" t="inlineStr">
        <is>
          <t>Anilina</t>
        </is>
      </c>
      <c r="C61" s="156" t="n">
        <v>141.12</v>
      </c>
      <c r="D61" s="156" t="n">
        <v>143</v>
      </c>
      <c r="E61" s="278" t="n">
        <v>0.01</v>
      </c>
    </row>
    <row r="62">
      <c r="A62" s="155" t="n">
        <v>61</v>
      </c>
      <c r="B62" s="155" t="inlineStr">
        <is>
          <t>Antimônio e compostos, como Sb</t>
        </is>
      </c>
      <c r="C62" s="156" t="n">
        <v>76.44</v>
      </c>
      <c r="D62" s="156" t="n">
        <v>76.44</v>
      </c>
      <c r="E62" s="278" t="n">
        <v>0</v>
      </c>
    </row>
    <row r="63">
      <c r="A63" s="155" t="n">
        <v>62</v>
      </c>
      <c r="B63" s="155" t="inlineStr">
        <is>
          <t>Antraceno</t>
        </is>
      </c>
      <c r="C63" s="156" t="n">
        <v>194.04</v>
      </c>
      <c r="D63" s="156" t="n">
        <v>194.04</v>
      </c>
      <c r="E63" s="278" t="n">
        <v>0</v>
      </c>
    </row>
    <row r="64">
      <c r="A64" s="155" t="n">
        <v>63</v>
      </c>
      <c r="B64" s="155" t="inlineStr">
        <is>
          <t>Arsênio e compostos inorgânicos, com As</t>
        </is>
      </c>
      <c r="C64" s="156" t="n">
        <v>76.44</v>
      </c>
      <c r="D64" s="156" t="n">
        <v>76.44</v>
      </c>
      <c r="E64" s="278" t="n">
        <v>0</v>
      </c>
    </row>
    <row r="65">
      <c r="A65" s="155" t="n">
        <v>64</v>
      </c>
      <c r="B65" s="155" t="inlineStr">
        <is>
          <t>Asfalto (betume), fumos como aerossol solúvel em benzeno</t>
        </is>
      </c>
      <c r="C65" s="156" t="n">
        <v>129.36</v>
      </c>
      <c r="D65" s="156" t="n">
        <v>135</v>
      </c>
      <c r="E65" s="278" t="n">
        <v>0.04</v>
      </c>
    </row>
    <row r="66">
      <c r="A66" s="155" t="n">
        <v>65</v>
      </c>
      <c r="B66" s="155" t="inlineStr">
        <is>
          <t>Azida de sódio, como azida de sódio</t>
        </is>
      </c>
      <c r="C66" s="156" t="n">
        <v>76.44</v>
      </c>
      <c r="D66" s="156" t="n">
        <v>76.44</v>
      </c>
      <c r="E66" s="278" t="n">
        <v>0</v>
      </c>
    </row>
    <row r="67">
      <c r="A67" s="155" t="n">
        <v>66</v>
      </c>
      <c r="B67" s="155" t="inlineStr">
        <is>
          <t>Bário e compostos solúveis, como Ba</t>
        </is>
      </c>
      <c r="C67" s="156" t="n">
        <v>76.44</v>
      </c>
      <c r="D67" s="156" t="n">
        <v>76.44</v>
      </c>
      <c r="E67" s="278" t="n">
        <v>0</v>
      </c>
    </row>
    <row r="68">
      <c r="A68" s="155" t="n">
        <v>67</v>
      </c>
      <c r="B68" s="155" t="inlineStr">
        <is>
          <t>Benzeno</t>
        </is>
      </c>
      <c r="C68" s="156" t="n">
        <v>88.2</v>
      </c>
      <c r="D68" s="156" t="n">
        <v>94</v>
      </c>
      <c r="E68" s="278" t="n">
        <v>0.07000000000000001</v>
      </c>
    </row>
    <row r="69">
      <c r="A69" s="155" t="n">
        <v>68</v>
      </c>
      <c r="B69" s="155" t="inlineStr">
        <is>
          <t>Benzo[a]antraceno</t>
        </is>
      </c>
      <c r="C69" s="156" t="n">
        <v>194.04</v>
      </c>
      <c r="D69" s="156" t="n">
        <v>194.04</v>
      </c>
      <c r="E69" s="278" t="n">
        <v>0</v>
      </c>
    </row>
    <row r="70">
      <c r="A70" s="155" t="n">
        <v>69</v>
      </c>
      <c r="B70" s="155" t="inlineStr">
        <is>
          <t>Benzo[a]pireno</t>
        </is>
      </c>
      <c r="C70" s="156" t="n">
        <v>194.04</v>
      </c>
      <c r="D70" s="156" t="n">
        <v>194.04</v>
      </c>
      <c r="E70" s="278" t="n">
        <v>0</v>
      </c>
    </row>
    <row r="71">
      <c r="A71" s="155" t="n">
        <v>70</v>
      </c>
      <c r="B71" s="155" t="inlineStr">
        <is>
          <t>Bisfenol</t>
        </is>
      </c>
      <c r="C71" s="156" t="n">
        <v>252.84</v>
      </c>
      <c r="D71" s="156" t="n">
        <v>252.84</v>
      </c>
      <c r="E71" s="278" t="n">
        <v>0</v>
      </c>
    </row>
    <row r="72">
      <c r="A72" s="155" t="n">
        <v>71</v>
      </c>
      <c r="B72" s="155" t="inlineStr">
        <is>
          <t>Bissulfito de sódio</t>
        </is>
      </c>
      <c r="C72" s="156" t="n">
        <v>76.44</v>
      </c>
      <c r="D72" s="156" t="n">
        <v>76.44</v>
      </c>
      <c r="E72" s="278" t="n">
        <v>0</v>
      </c>
    </row>
    <row r="73">
      <c r="A73" s="155" t="n">
        <v>72</v>
      </c>
      <c r="B73" s="155" t="inlineStr">
        <is>
          <t>Borato, compostos inorgânicos</t>
        </is>
      </c>
      <c r="C73" s="156" t="n">
        <v>76.44</v>
      </c>
      <c r="D73" s="156" t="n">
        <v>76.44</v>
      </c>
      <c r="E73" s="278" t="n">
        <v>0</v>
      </c>
    </row>
    <row r="74">
      <c r="A74" s="155" t="n">
        <v>73</v>
      </c>
      <c r="B74" s="155" t="inlineStr">
        <is>
          <t>Brometo de etila</t>
        </is>
      </c>
      <c r="C74" s="156" t="n">
        <v>235.2</v>
      </c>
      <c r="D74" s="156" t="n">
        <v>235.2</v>
      </c>
      <c r="E74" s="278" t="n">
        <v>0</v>
      </c>
    </row>
    <row r="75">
      <c r="A75" s="155" t="n">
        <v>74</v>
      </c>
      <c r="B75" s="155" t="inlineStr">
        <is>
          <t>Brometo de hidrogênio</t>
        </is>
      </c>
      <c r="C75" s="156" t="n">
        <v>135.36</v>
      </c>
      <c r="D75" s="156" t="n">
        <v>150</v>
      </c>
      <c r="E75" s="278" t="n">
        <v>0.11</v>
      </c>
    </row>
    <row r="76">
      <c r="A76" s="155" t="n">
        <v>75</v>
      </c>
      <c r="B76" s="155" t="inlineStr">
        <is>
          <t>Bromo</t>
        </is>
      </c>
      <c r="C76" s="156" t="n">
        <v>129.36</v>
      </c>
      <c r="D76" s="156" t="n">
        <v>135</v>
      </c>
      <c r="E76" s="278" t="n">
        <v>0.04</v>
      </c>
    </row>
    <row r="77">
      <c r="A77" s="155" t="n">
        <v>76</v>
      </c>
      <c r="B77" s="155" t="inlineStr">
        <is>
          <t>Bromofórmio</t>
        </is>
      </c>
      <c r="C77" s="156" t="n">
        <v>88.2</v>
      </c>
      <c r="D77" s="156" t="n">
        <v>94</v>
      </c>
      <c r="E77" s="278" t="n">
        <v>0.07000000000000001</v>
      </c>
    </row>
    <row r="78">
      <c r="A78" s="155" t="n">
        <v>77</v>
      </c>
      <c r="B78" s="155" t="inlineStr">
        <is>
          <t>Butano, isômeros</t>
        </is>
      </c>
      <c r="C78" s="156" t="n">
        <v>129.36</v>
      </c>
      <c r="D78" s="156" t="n">
        <v>135</v>
      </c>
      <c r="E78" s="278" t="n">
        <v>0.04</v>
      </c>
    </row>
    <row r="79">
      <c r="A79" s="155" t="n">
        <v>78</v>
      </c>
      <c r="B79" s="155" t="inlineStr">
        <is>
          <t>Cádmio</t>
        </is>
      </c>
      <c r="C79" s="156" t="n">
        <v>76.44</v>
      </c>
      <c r="D79" s="156" t="n">
        <v>76.44</v>
      </c>
      <c r="E79" s="278" t="n">
        <v>0</v>
      </c>
    </row>
    <row r="80">
      <c r="A80" s="155" t="n">
        <v>79</v>
      </c>
      <c r="B80" s="155" t="inlineStr">
        <is>
          <t>Cádmio e compostos, como Cd</t>
        </is>
      </c>
      <c r="C80" s="156" t="n">
        <v>76.44</v>
      </c>
      <c r="D80" s="156" t="n">
        <v>76.44</v>
      </c>
      <c r="E80" s="278" t="n">
        <v>0</v>
      </c>
    </row>
    <row r="81">
      <c r="A81" s="155" t="n">
        <v>80</v>
      </c>
      <c r="B81" s="155" t="inlineStr">
        <is>
          <t>Captan</t>
        </is>
      </c>
      <c r="C81" s="156" t="n">
        <v>552.72</v>
      </c>
      <c r="D81" s="156" t="n">
        <v>552.72</v>
      </c>
      <c r="E81" s="278" t="n">
        <v>0</v>
      </c>
    </row>
    <row r="82">
      <c r="A82" s="155" t="n">
        <v>81</v>
      </c>
      <c r="B82" s="155" t="inlineStr">
        <is>
          <t>Carbeto de silício, não fibroso (I)</t>
        </is>
      </c>
      <c r="C82" s="156" t="n">
        <v>47.04</v>
      </c>
      <c r="D82" s="156" t="n">
        <v>50</v>
      </c>
      <c r="E82" s="278" t="n">
        <v>0.06</v>
      </c>
    </row>
    <row r="83">
      <c r="A83" s="155" t="n">
        <v>82</v>
      </c>
      <c r="B83" s="155" t="inlineStr">
        <is>
          <t>Carbeto de silício, não fibroso (R)</t>
        </is>
      </c>
      <c r="C83" s="156" t="n">
        <v>47.04</v>
      </c>
      <c r="D83" s="156" t="n">
        <v>50</v>
      </c>
      <c r="E83" s="278" t="n">
        <v>0.06</v>
      </c>
    </row>
    <row r="84">
      <c r="A84" s="155" t="n">
        <v>83</v>
      </c>
      <c r="B84" s="155" t="inlineStr">
        <is>
          <t>Carbofuran (FI)</t>
        </is>
      </c>
      <c r="C84" s="156" t="n">
        <v>228.73</v>
      </c>
      <c r="D84" s="156" t="n">
        <v>228.73</v>
      </c>
      <c r="E84" s="278" t="n">
        <v>0</v>
      </c>
    </row>
    <row r="85">
      <c r="A85" s="155" t="n">
        <v>84</v>
      </c>
      <c r="B85" s="155" t="inlineStr">
        <is>
          <t>Carbofuran (FV)</t>
        </is>
      </c>
      <c r="C85" s="156" t="n">
        <v>228.73</v>
      </c>
      <c r="D85" s="156" t="n">
        <v>228.73</v>
      </c>
      <c r="E85" s="278" t="n">
        <v>0</v>
      </c>
    </row>
    <row r="86">
      <c r="A86" s="155" t="n">
        <v>85</v>
      </c>
      <c r="B86" s="155" t="inlineStr">
        <is>
          <t>Carvão, poeiras - Antracito</t>
        </is>
      </c>
      <c r="C86" s="156" t="n">
        <v>47.04</v>
      </c>
      <c r="D86" s="156" t="n">
        <v>50</v>
      </c>
      <c r="E86" s="278" t="n">
        <v>0.06</v>
      </c>
    </row>
    <row r="87">
      <c r="A87" s="155" t="n">
        <v>86</v>
      </c>
      <c r="B87" s="155" t="inlineStr">
        <is>
          <t>Carvão, poeiras - Betuminoso ou Lignito</t>
        </is>
      </c>
      <c r="C87" s="156" t="n">
        <v>47.04</v>
      </c>
      <c r="D87" s="156" t="n">
        <v>50</v>
      </c>
      <c r="E87" s="278" t="n">
        <v>0.06</v>
      </c>
    </row>
    <row r="88">
      <c r="A88" s="155" t="n">
        <v>87</v>
      </c>
      <c r="B88" s="155" t="inlineStr">
        <is>
          <t>Celulose</t>
        </is>
      </c>
      <c r="C88" s="156" t="n">
        <v>47.04</v>
      </c>
      <c r="D88" s="156" t="n">
        <v>50</v>
      </c>
      <c r="E88" s="278" t="n">
        <v>0.06</v>
      </c>
    </row>
    <row r="89">
      <c r="A89" s="155" t="n">
        <v>88</v>
      </c>
      <c r="B89" s="155" t="inlineStr">
        <is>
          <t>Chumbo e compostos inorgânicos, como Pb</t>
        </is>
      </c>
      <c r="C89" s="156" t="n">
        <v>76.44</v>
      </c>
      <c r="D89" s="156" t="n">
        <v>76.44</v>
      </c>
      <c r="E89" s="278" t="n">
        <v>0</v>
      </c>
    </row>
    <row r="90">
      <c r="A90" s="155" t="n">
        <v>89</v>
      </c>
      <c r="B90" s="155" t="inlineStr">
        <is>
          <t>Cianeto de hidrogênio</t>
        </is>
      </c>
      <c r="C90" s="156" t="n">
        <v>82.31999999999999</v>
      </c>
      <c r="D90" s="156" t="n">
        <v>87</v>
      </c>
      <c r="E90" s="278" t="n">
        <v>0.06</v>
      </c>
    </row>
    <row r="91">
      <c r="A91" s="155" t="n">
        <v>90</v>
      </c>
      <c r="B91" s="155" t="inlineStr">
        <is>
          <t>Ciclohexano</t>
        </is>
      </c>
      <c r="C91" s="156" t="n">
        <v>88.2</v>
      </c>
      <c r="D91" s="156" t="n">
        <v>94</v>
      </c>
      <c r="E91" s="278" t="n">
        <v>0.07000000000000001</v>
      </c>
    </row>
    <row r="92">
      <c r="A92" s="155" t="n">
        <v>91</v>
      </c>
      <c r="B92" s="155" t="inlineStr">
        <is>
          <t>Ciclohexanona</t>
        </is>
      </c>
      <c r="C92" s="156" t="n">
        <v>88.2</v>
      </c>
      <c r="D92" s="156" t="n">
        <v>94</v>
      </c>
      <c r="E92" s="278" t="n">
        <v>0.07000000000000001</v>
      </c>
    </row>
    <row r="93">
      <c r="A93" s="155" t="n">
        <v>92</v>
      </c>
      <c r="B93" s="155" t="inlineStr">
        <is>
          <t>Ciclohexeno</t>
        </is>
      </c>
      <c r="C93" s="156" t="n">
        <v>88.2</v>
      </c>
      <c r="D93" s="156" t="n">
        <v>94</v>
      </c>
      <c r="E93" s="278" t="n">
        <v>0.07000000000000001</v>
      </c>
    </row>
    <row r="94">
      <c r="A94" s="155" t="n">
        <v>93</v>
      </c>
      <c r="B94" s="155" t="inlineStr">
        <is>
          <t>Ciclohexilamina</t>
        </is>
      </c>
      <c r="C94" s="156" t="n">
        <v>193.62</v>
      </c>
      <c r="D94" s="156" t="n">
        <v>193.62</v>
      </c>
      <c r="E94" s="278" t="n">
        <v>0</v>
      </c>
    </row>
    <row r="95">
      <c r="A95" s="155" t="n">
        <v>94</v>
      </c>
      <c r="B95" s="155" t="inlineStr">
        <is>
          <t>Ciclopentano</t>
        </is>
      </c>
      <c r="C95" s="156" t="n">
        <v>88.2</v>
      </c>
      <c r="D95" s="156" t="n">
        <v>94</v>
      </c>
      <c r="E95" s="278" t="n">
        <v>0.07000000000000001</v>
      </c>
    </row>
    <row r="96">
      <c r="A96" s="155" t="n">
        <v>95</v>
      </c>
      <c r="B96" s="155" t="inlineStr">
        <is>
          <t>Cimento portland</t>
        </is>
      </c>
      <c r="C96" s="156" t="n">
        <v>47.04</v>
      </c>
      <c r="D96" s="156" t="n">
        <v>50</v>
      </c>
      <c r="E96" s="278" t="n">
        <v>0.06</v>
      </c>
    </row>
    <row r="97">
      <c r="A97" s="155" t="n">
        <v>96</v>
      </c>
      <c r="B97" s="155" t="inlineStr">
        <is>
          <t>Cloreto de amônio - fumos</t>
        </is>
      </c>
      <c r="C97" s="156" t="n">
        <v>111.72</v>
      </c>
      <c r="D97" s="156" t="n">
        <v>115</v>
      </c>
      <c r="E97" s="278" t="n">
        <v>0.03</v>
      </c>
    </row>
    <row r="98">
      <c r="A98" s="155" t="n">
        <v>97</v>
      </c>
      <c r="B98" s="155" t="inlineStr">
        <is>
          <t>Cloreto de hidrogênio</t>
        </is>
      </c>
      <c r="C98" s="156" t="n">
        <v>137.36</v>
      </c>
      <c r="D98" s="156" t="n">
        <v>150</v>
      </c>
      <c r="E98" s="278" t="n">
        <v>0.09</v>
      </c>
    </row>
    <row r="99">
      <c r="A99" s="155" t="n">
        <v>98</v>
      </c>
      <c r="B99" s="155" t="inlineStr">
        <is>
          <t>Cloreto de vinila</t>
        </is>
      </c>
      <c r="C99" s="156" t="n">
        <v>170.52</v>
      </c>
      <c r="D99" s="156" t="n">
        <v>171</v>
      </c>
      <c r="E99" s="278" t="n">
        <v>0</v>
      </c>
    </row>
    <row r="100">
      <c r="A100" s="155" t="n">
        <v>99</v>
      </c>
      <c r="B100" s="155" t="inlineStr">
        <is>
          <t>Cloreto de zinco, fumos</t>
        </is>
      </c>
      <c r="C100" s="156" t="n">
        <v>76.44</v>
      </c>
      <c r="D100" s="156" t="n">
        <v>76.44</v>
      </c>
      <c r="E100" s="278" t="n">
        <v>0</v>
      </c>
    </row>
    <row r="101">
      <c r="A101" s="155" t="n">
        <v>100</v>
      </c>
      <c r="B101" s="155" t="inlineStr">
        <is>
          <t>Cloro</t>
        </is>
      </c>
      <c r="C101" s="156" t="n">
        <v>129.36</v>
      </c>
      <c r="D101" s="156" t="n">
        <v>135</v>
      </c>
      <c r="E101" s="278" t="n">
        <v>0.04</v>
      </c>
    </row>
    <row r="102">
      <c r="A102" s="155" t="n">
        <v>101</v>
      </c>
      <c r="B102" s="155" t="inlineStr">
        <is>
          <t>Clorobenzeno</t>
        </is>
      </c>
      <c r="C102" s="156" t="n">
        <v>88.2</v>
      </c>
      <c r="D102" s="156" t="n">
        <v>94</v>
      </c>
      <c r="E102" s="278" t="n">
        <v>0.07000000000000001</v>
      </c>
    </row>
    <row r="103">
      <c r="A103" s="155" t="n">
        <v>102</v>
      </c>
      <c r="B103" s="155" t="inlineStr">
        <is>
          <t>Clorofórmio</t>
        </is>
      </c>
      <c r="C103" s="156" t="n">
        <v>88.2</v>
      </c>
      <c r="D103" s="156" t="n">
        <v>94</v>
      </c>
      <c r="E103" s="278" t="n">
        <v>0.07000000000000001</v>
      </c>
    </row>
    <row r="104">
      <c r="A104" s="155" t="n">
        <v>103</v>
      </c>
      <c r="B104" s="155" t="inlineStr">
        <is>
          <t>Cobalto e compostos inorgânicos, como Co</t>
        </is>
      </c>
      <c r="C104" s="156" t="n">
        <v>76.44</v>
      </c>
      <c r="D104" s="156" t="n">
        <v>76.44</v>
      </c>
      <c r="E104" s="278" t="n">
        <v>0</v>
      </c>
    </row>
    <row r="105">
      <c r="A105" s="155" t="n">
        <v>104</v>
      </c>
      <c r="B105" s="155" t="inlineStr">
        <is>
          <t>Cobre, fumos como Cu</t>
        </is>
      </c>
      <c r="C105" s="156" t="n">
        <v>76.44</v>
      </c>
      <c r="D105" s="156" t="n">
        <v>76.44</v>
      </c>
      <c r="E105" s="278" t="n">
        <v>0</v>
      </c>
    </row>
    <row r="106">
      <c r="A106" s="155" t="n">
        <v>105</v>
      </c>
      <c r="B106" s="155" t="inlineStr">
        <is>
          <t>Cobre, poeiras e névoas como Cu</t>
        </is>
      </c>
      <c r="C106" s="156" t="n">
        <v>76.44</v>
      </c>
      <c r="D106" s="156" t="n">
        <v>76.44</v>
      </c>
      <c r="E106" s="278" t="n">
        <v>0</v>
      </c>
    </row>
    <row r="107">
      <c r="A107" s="155" t="n">
        <v>106</v>
      </c>
      <c r="B107" s="155" t="inlineStr">
        <is>
          <t>Compostos de cromo hexavalente, como Cr(VI), compostos solúveis em água</t>
        </is>
      </c>
      <c r="C107" s="156" t="n">
        <v>129.36</v>
      </c>
      <c r="D107" s="156" t="n">
        <v>135</v>
      </c>
      <c r="E107" s="278" t="n">
        <v>0.04</v>
      </c>
    </row>
    <row r="108">
      <c r="A108" s="155" t="n">
        <v>107</v>
      </c>
      <c r="B108" s="155" t="inlineStr">
        <is>
          <t>Compostos de cromo trivalente, como Cr(III), compostos solúveis em água</t>
        </is>
      </c>
      <c r="C108" s="156" t="n">
        <v>76.44</v>
      </c>
      <c r="D108" s="156" t="n">
        <v>76.44</v>
      </c>
      <c r="E108" s="278" t="n">
        <v>0</v>
      </c>
    </row>
    <row r="109">
      <c r="A109" s="155" t="n">
        <v>108</v>
      </c>
      <c r="B109" s="155" t="inlineStr">
        <is>
          <t>Criseno</t>
        </is>
      </c>
      <c r="C109" s="156" t="n">
        <v>194.04</v>
      </c>
      <c r="D109" s="156" t="n">
        <v>194.04</v>
      </c>
      <c r="E109" s="278" t="n">
        <v>0</v>
      </c>
    </row>
    <row r="110">
      <c r="A110" s="155" t="n">
        <v>109</v>
      </c>
      <c r="B110" s="155" t="inlineStr">
        <is>
          <t>Cromato de chumbo, como Pb, determinado como Cr(VI)</t>
        </is>
      </c>
      <c r="C110" s="156" t="n">
        <v>129.36</v>
      </c>
      <c r="D110" s="156" t="n">
        <v>135</v>
      </c>
      <c r="E110" s="278" t="n">
        <v>0.04</v>
      </c>
    </row>
    <row r="111">
      <c r="A111" s="155" t="n">
        <v>110</v>
      </c>
      <c r="B111" s="155" t="inlineStr">
        <is>
          <t>Cromo metálico, como Cr(0)</t>
        </is>
      </c>
      <c r="C111" s="156" t="n">
        <v>76.44</v>
      </c>
      <c r="D111" s="156" t="n">
        <v>76.44</v>
      </c>
      <c r="E111" s="278" t="n">
        <v>0</v>
      </c>
    </row>
    <row r="112">
      <c r="A112" s="155" t="n">
        <v>111</v>
      </c>
      <c r="B112" s="155" t="inlineStr">
        <is>
          <t>Cumeno</t>
        </is>
      </c>
      <c r="C112" s="156" t="n">
        <v>88.2</v>
      </c>
      <c r="D112" s="156" t="n">
        <v>94</v>
      </c>
      <c r="E112" s="278" t="n">
        <v>0.07000000000000001</v>
      </c>
    </row>
    <row r="113">
      <c r="A113" s="155" t="n">
        <v>112</v>
      </c>
      <c r="B113" s="155" t="inlineStr">
        <is>
          <t>Diacetona álcool</t>
        </is>
      </c>
      <c r="C113" s="156" t="n">
        <v>88.2</v>
      </c>
      <c r="D113" s="156" t="n">
        <v>94</v>
      </c>
      <c r="E113" s="278" t="n">
        <v>0.07000000000000001</v>
      </c>
    </row>
    <row r="114">
      <c r="A114" s="155" t="n">
        <v>113</v>
      </c>
      <c r="B114" s="155" t="inlineStr">
        <is>
          <t>Dibenzo[a,h]antraceno</t>
        </is>
      </c>
      <c r="C114" s="156" t="n">
        <v>194.04</v>
      </c>
      <c r="D114" s="156" t="n">
        <v>194.04</v>
      </c>
      <c r="E114" s="278" t="n">
        <v>0</v>
      </c>
    </row>
    <row r="115">
      <c r="A115" s="155" t="n">
        <v>114</v>
      </c>
      <c r="B115" s="155" t="inlineStr">
        <is>
          <t>Dibutilftalato</t>
        </is>
      </c>
      <c r="C115" s="156" t="n">
        <v>176.4</v>
      </c>
      <c r="D115" s="156" t="n">
        <v>176.4</v>
      </c>
      <c r="E115" s="278" t="n">
        <v>0</v>
      </c>
    </row>
    <row r="116">
      <c r="A116" s="155" t="n">
        <v>115</v>
      </c>
      <c r="B116" s="155" t="inlineStr">
        <is>
          <t>Diclorometano</t>
        </is>
      </c>
      <c r="C116" s="156" t="n">
        <v>147</v>
      </c>
      <c r="D116" s="156" t="n">
        <v>148</v>
      </c>
      <c r="E116" s="278" t="n">
        <v>0.01</v>
      </c>
    </row>
    <row r="117">
      <c r="A117" s="155" t="n">
        <v>116</v>
      </c>
      <c r="B117" s="155" t="inlineStr">
        <is>
          <t>Diesel combustível, como hidrocarbonetos totais (FI)</t>
        </is>
      </c>
      <c r="C117" s="156" t="n">
        <v>88.2</v>
      </c>
      <c r="D117" s="156" t="n">
        <v>94</v>
      </c>
      <c r="E117" s="278" t="n">
        <v>0.07000000000000001</v>
      </c>
    </row>
    <row r="118">
      <c r="A118" s="155" t="n">
        <v>117</v>
      </c>
      <c r="B118" s="155" t="inlineStr">
        <is>
          <t>Diesel combustível, como hidrocarbonetos totais (FV)</t>
        </is>
      </c>
      <c r="C118" s="156" t="n">
        <v>88.2</v>
      </c>
      <c r="D118" s="156" t="n">
        <v>94</v>
      </c>
      <c r="E118" s="278" t="n">
        <v>0.07000000000000001</v>
      </c>
    </row>
    <row r="119">
      <c r="A119" s="155" t="n">
        <v>118</v>
      </c>
      <c r="B119" s="155" t="inlineStr">
        <is>
          <t>Dietanolamina (FI)</t>
        </is>
      </c>
      <c r="C119" s="156" t="n">
        <v>174.64</v>
      </c>
      <c r="D119" s="156" t="n">
        <v>195</v>
      </c>
      <c r="E119" s="278" t="n">
        <v>0.12</v>
      </c>
    </row>
    <row r="120">
      <c r="A120" s="155" t="n">
        <v>119</v>
      </c>
      <c r="B120" s="155" t="inlineStr">
        <is>
          <t>Dietanolamina (FV)</t>
        </is>
      </c>
      <c r="C120" s="156" t="n">
        <v>174.64</v>
      </c>
      <c r="D120" s="156" t="n">
        <v>195</v>
      </c>
      <c r="E120" s="278" t="n">
        <v>0.12</v>
      </c>
    </row>
    <row r="121">
      <c r="A121" s="155" t="n">
        <v>120</v>
      </c>
      <c r="B121" s="155" t="inlineStr">
        <is>
          <t>Dietilamina</t>
        </is>
      </c>
      <c r="C121" s="156" t="n">
        <v>99.95999999999999</v>
      </c>
      <c r="D121" s="156" t="n">
        <v>105</v>
      </c>
      <c r="E121" s="278" t="n">
        <v>0.05</v>
      </c>
    </row>
    <row r="122">
      <c r="A122" s="155" t="n">
        <v>121</v>
      </c>
      <c r="B122" s="155" t="inlineStr">
        <is>
          <t>Dietileno glicol</t>
        </is>
      </c>
      <c r="C122" s="156" t="n">
        <v>170.52</v>
      </c>
      <c r="D122" s="156" t="n">
        <v>171</v>
      </c>
      <c r="E122" s="278" t="n">
        <v>0</v>
      </c>
    </row>
    <row r="123">
      <c r="A123" s="155" t="n">
        <v>122</v>
      </c>
      <c r="B123" s="155" t="inlineStr">
        <is>
          <t>Dióxido de carbono</t>
        </is>
      </c>
      <c r="C123" s="156" t="n">
        <v>129.36</v>
      </c>
      <c r="D123" s="156" t="n">
        <v>135</v>
      </c>
      <c r="E123" s="278" t="n">
        <v>0.04</v>
      </c>
    </row>
    <row r="124">
      <c r="A124" s="155" t="n">
        <v>123</v>
      </c>
      <c r="B124" s="155" t="inlineStr">
        <is>
          <t>Dióxido de cloro</t>
        </is>
      </c>
      <c r="C124" s="156" t="n">
        <v>129.36</v>
      </c>
      <c r="D124" s="156" t="n">
        <v>135</v>
      </c>
      <c r="E124" s="278" t="n">
        <v>0.04</v>
      </c>
    </row>
    <row r="125">
      <c r="A125" s="155" t="n">
        <v>124</v>
      </c>
      <c r="B125" s="155" t="inlineStr">
        <is>
          <t>Dióxido de enxofre</t>
        </is>
      </c>
      <c r="C125" s="156" t="n">
        <v>194.04</v>
      </c>
      <c r="D125" s="156" t="n">
        <v>194.04</v>
      </c>
      <c r="E125" s="278" t="n">
        <v>0</v>
      </c>
    </row>
    <row r="126">
      <c r="A126" s="155" t="n">
        <v>125</v>
      </c>
      <c r="B126" s="155" t="inlineStr">
        <is>
          <t>Dióxido de nitrogênio</t>
        </is>
      </c>
      <c r="C126" s="156" t="n">
        <v>282.24</v>
      </c>
      <c r="D126" s="156" t="n">
        <v>282.24</v>
      </c>
      <c r="E126" s="278" t="n">
        <v>0</v>
      </c>
    </row>
    <row r="127">
      <c r="A127" s="155" t="n">
        <v>126</v>
      </c>
      <c r="B127" s="155" t="inlineStr">
        <is>
          <t>Dióxido de titânio (Partículas finas)</t>
        </is>
      </c>
      <c r="C127" s="156" t="n">
        <v>76.44</v>
      </c>
      <c r="D127" s="156" t="n">
        <v>76.44</v>
      </c>
      <c r="E127" s="278" t="n">
        <v>0</v>
      </c>
    </row>
    <row r="128">
      <c r="A128" s="155" t="n">
        <v>127</v>
      </c>
      <c r="B128" s="155" t="inlineStr">
        <is>
          <t>Diuron</t>
        </is>
      </c>
      <c r="C128" s="156" t="n">
        <v>317.52</v>
      </c>
      <c r="D128" s="156" t="n">
        <v>317.52</v>
      </c>
      <c r="E128" s="278" t="n">
        <v>0</v>
      </c>
    </row>
    <row r="129">
      <c r="A129" s="155" t="n">
        <v>128</v>
      </c>
      <c r="B129" s="155" t="inlineStr">
        <is>
          <t>Epicloridrina</t>
        </is>
      </c>
      <c r="C129" s="156" t="n">
        <v>88.2</v>
      </c>
      <c r="D129" s="156" t="n">
        <v>94</v>
      </c>
      <c r="E129" s="278" t="n">
        <v>0.07000000000000001</v>
      </c>
    </row>
    <row r="130">
      <c r="A130" s="155" t="n">
        <v>129</v>
      </c>
      <c r="B130" s="155" t="inlineStr">
        <is>
          <t>Espíritos minerais</t>
        </is>
      </c>
      <c r="C130" s="156" t="n">
        <v>204.02</v>
      </c>
      <c r="D130" s="156" t="n">
        <v>218</v>
      </c>
      <c r="E130" s="278" t="n">
        <v>0.07000000000000001</v>
      </c>
    </row>
    <row r="131">
      <c r="A131" s="155" t="n">
        <v>130</v>
      </c>
      <c r="B131" s="155" t="inlineStr">
        <is>
          <t>Estanho e compostos inorgânicos excluindo hidreto de Sn, como Sn</t>
        </is>
      </c>
      <c r="C131" s="156" t="n">
        <v>76.44</v>
      </c>
      <c r="D131" s="156" t="n">
        <v>76.44</v>
      </c>
      <c r="E131" s="278" t="n">
        <v>0</v>
      </c>
    </row>
    <row r="132">
      <c r="A132" s="155" t="n">
        <v>131</v>
      </c>
      <c r="B132" s="155" t="inlineStr">
        <is>
          <t>Estanho, compostos orgânicos como estanho</t>
        </is>
      </c>
      <c r="C132" s="156" t="n">
        <v>76.44</v>
      </c>
      <c r="D132" s="156" t="n">
        <v>76.44</v>
      </c>
      <c r="E132" s="278" t="n">
        <v>0</v>
      </c>
    </row>
    <row r="133">
      <c r="A133" s="155" t="n">
        <v>132</v>
      </c>
      <c r="B133" s="155" t="inlineStr">
        <is>
          <t>Estearatos (exceto de metais tóxicos) (FI)</t>
        </is>
      </c>
      <c r="C133" s="156" t="n">
        <v>47.04</v>
      </c>
      <c r="D133" s="156" t="n">
        <v>50</v>
      </c>
      <c r="E133" s="278" t="n">
        <v>0.06</v>
      </c>
    </row>
    <row r="134">
      <c r="A134" s="155" t="n">
        <v>133</v>
      </c>
      <c r="B134" s="155" t="inlineStr">
        <is>
          <t>Estearatos (exceto de metais tóxicos) (R)</t>
        </is>
      </c>
      <c r="C134" s="156" t="n">
        <v>47.04</v>
      </c>
      <c r="D134" s="156" t="n">
        <v>50</v>
      </c>
      <c r="E134" s="278" t="n">
        <v>0.06</v>
      </c>
    </row>
    <row r="135">
      <c r="A135" s="155" t="n">
        <v>134</v>
      </c>
      <c r="B135" s="155" t="inlineStr">
        <is>
          <t>Estireno, monômero</t>
        </is>
      </c>
      <c r="C135" s="156" t="n">
        <v>88.2</v>
      </c>
      <c r="D135" s="156" t="n">
        <v>94</v>
      </c>
      <c r="E135" s="278" t="n">
        <v>0.07000000000000001</v>
      </c>
    </row>
    <row r="136">
      <c r="A136" s="155" t="n">
        <v>135</v>
      </c>
      <c r="B136" s="155" t="inlineStr">
        <is>
          <t>Etano</t>
        </is>
      </c>
      <c r="C136" s="156" t="n">
        <v>129.36</v>
      </c>
      <c r="D136" s="156" t="n">
        <v>135</v>
      </c>
      <c r="E136" s="278" t="n">
        <v>0.04</v>
      </c>
    </row>
    <row r="137">
      <c r="A137" s="155" t="n">
        <v>136</v>
      </c>
      <c r="B137" s="155" t="inlineStr">
        <is>
          <t>Etanol</t>
        </is>
      </c>
      <c r="C137" s="156" t="n">
        <v>88.2</v>
      </c>
      <c r="D137" s="156" t="n">
        <v>94</v>
      </c>
      <c r="E137" s="278" t="n">
        <v>0.07000000000000001</v>
      </c>
    </row>
    <row r="138">
      <c r="A138" s="155" t="n">
        <v>137</v>
      </c>
      <c r="B138" s="155" t="inlineStr">
        <is>
          <t>Etanolamina</t>
        </is>
      </c>
      <c r="C138" s="156" t="n">
        <v>179.52</v>
      </c>
      <c r="D138" s="156" t="n">
        <v>195</v>
      </c>
      <c r="E138" s="278" t="n">
        <v>0.09</v>
      </c>
    </row>
    <row r="139">
      <c r="A139" s="155" t="n">
        <v>138</v>
      </c>
      <c r="B139" s="155" t="inlineStr">
        <is>
          <t>Éter de petróleo (benzina)</t>
        </is>
      </c>
      <c r="C139" s="156" t="n">
        <v>134.15</v>
      </c>
      <c r="D139" s="156" t="n">
        <v>145</v>
      </c>
      <c r="E139" s="278" t="n">
        <v>0.08</v>
      </c>
    </row>
    <row r="140">
      <c r="A140" s="155" t="n">
        <v>139</v>
      </c>
      <c r="B140" s="155" t="inlineStr">
        <is>
          <t>Éter etílico</t>
        </is>
      </c>
      <c r="C140" s="156" t="n">
        <v>88.2</v>
      </c>
      <c r="D140" s="156" t="n">
        <v>94</v>
      </c>
      <c r="E140" s="278" t="n">
        <v>0.07000000000000001</v>
      </c>
    </row>
    <row r="141">
      <c r="A141" s="155" t="n">
        <v>140</v>
      </c>
      <c r="B141" s="155" t="inlineStr">
        <is>
          <t>Etilbenzeno</t>
        </is>
      </c>
      <c r="C141" s="156" t="n">
        <v>88.2</v>
      </c>
      <c r="D141" s="156" t="n">
        <v>94</v>
      </c>
      <c r="E141" s="278" t="n">
        <v>0.07000000000000001</v>
      </c>
    </row>
    <row r="142">
      <c r="A142" s="155" t="n">
        <v>141</v>
      </c>
      <c r="B142" s="155" t="inlineStr">
        <is>
          <t>Etileno glicol</t>
        </is>
      </c>
      <c r="C142" s="156" t="n">
        <v>170.52</v>
      </c>
      <c r="D142" s="156" t="n">
        <v>171</v>
      </c>
      <c r="E142" s="278" t="n">
        <v>0</v>
      </c>
    </row>
    <row r="143">
      <c r="A143" s="155" t="n">
        <v>142</v>
      </c>
      <c r="B143" s="155" t="inlineStr">
        <is>
          <t>Farinha (poeiras)</t>
        </is>
      </c>
      <c r="C143" s="156" t="n">
        <v>47.04</v>
      </c>
      <c r="D143" s="156" t="n">
        <v>50</v>
      </c>
      <c r="E143" s="278" t="n">
        <v>0.06</v>
      </c>
    </row>
    <row r="144">
      <c r="A144" s="155" t="n">
        <v>143</v>
      </c>
      <c r="B144" s="155" t="inlineStr">
        <is>
          <t>Fenantreno</t>
        </is>
      </c>
      <c r="C144" s="156" t="n">
        <v>194.04</v>
      </c>
      <c r="D144" s="156" t="n">
        <v>194.04</v>
      </c>
      <c r="E144" s="278" t="n">
        <v>0</v>
      </c>
    </row>
    <row r="145">
      <c r="A145" s="155" t="n">
        <v>144</v>
      </c>
      <c r="B145" s="155" t="inlineStr">
        <is>
          <t>Fenol</t>
        </is>
      </c>
      <c r="C145" s="156" t="n">
        <v>88.2</v>
      </c>
      <c r="D145" s="156" t="n">
        <v>94</v>
      </c>
      <c r="E145" s="278" t="n">
        <v>0.07000000000000001</v>
      </c>
    </row>
    <row r="146">
      <c r="A146" s="155" t="n">
        <v>145</v>
      </c>
      <c r="B146" s="155" t="inlineStr">
        <is>
          <t>Ferro, óxido (Fe2O3)</t>
        </is>
      </c>
      <c r="C146" s="156" t="n">
        <v>76.44</v>
      </c>
      <c r="D146" s="156" t="n">
        <v>76.44</v>
      </c>
      <c r="E146" s="278" t="n">
        <v>0</v>
      </c>
    </row>
    <row r="147">
      <c r="A147" s="155" t="n">
        <v>146</v>
      </c>
      <c r="B147" s="155" t="inlineStr">
        <is>
          <t>Ferro, sais solúveis, como Fe</t>
        </is>
      </c>
      <c r="C147" s="156" t="n">
        <v>76.44</v>
      </c>
      <c r="D147" s="156" t="n">
        <v>76.44</v>
      </c>
      <c r="E147" s="278" t="n">
        <v>0</v>
      </c>
    </row>
    <row r="148">
      <c r="A148" s="155" t="n">
        <v>147</v>
      </c>
      <c r="B148" s="155" t="inlineStr">
        <is>
          <t>Ferrovanádio, poeira</t>
        </is>
      </c>
      <c r="C148" s="156" t="n">
        <v>76.44</v>
      </c>
      <c r="D148" s="156" t="n">
        <v>76.44</v>
      </c>
      <c r="E148" s="278" t="n">
        <v>0</v>
      </c>
    </row>
    <row r="149">
      <c r="A149" s="155" t="n">
        <v>148</v>
      </c>
      <c r="B149" s="155" t="inlineStr">
        <is>
          <t>Fibra de vidro filamento contínuo</t>
        </is>
      </c>
      <c r="C149" s="156" t="n">
        <v>47.04</v>
      </c>
      <c r="D149" s="156" t="n">
        <v>50</v>
      </c>
      <c r="E149" s="278" t="n">
        <v>0.06</v>
      </c>
    </row>
    <row r="150">
      <c r="A150" s="155" t="n">
        <v>149</v>
      </c>
      <c r="B150" s="155" t="inlineStr">
        <is>
          <t>Fipronil</t>
        </is>
      </c>
      <c r="C150" s="156" t="n">
        <v>465.99</v>
      </c>
      <c r="D150" s="156" t="n">
        <v>465.99</v>
      </c>
      <c r="E150" s="278" t="n">
        <v>0</v>
      </c>
    </row>
    <row r="151">
      <c r="A151" s="155" t="n">
        <v>150</v>
      </c>
      <c r="B151" s="155" t="inlineStr">
        <is>
          <t>Fluoranteno</t>
        </is>
      </c>
      <c r="C151" s="156" t="n">
        <v>194.04</v>
      </c>
      <c r="D151" s="156" t="n">
        <v>194.04</v>
      </c>
      <c r="E151" s="278" t="n">
        <v>0</v>
      </c>
    </row>
    <row r="152">
      <c r="A152" s="155" t="n">
        <v>151</v>
      </c>
      <c r="B152" s="155" t="inlineStr">
        <is>
          <t>Fluoreno</t>
        </is>
      </c>
      <c r="C152" s="156" t="n">
        <v>194.04</v>
      </c>
      <c r="D152" s="156" t="n">
        <v>194.04</v>
      </c>
      <c r="E152" s="278" t="n">
        <v>0</v>
      </c>
    </row>
    <row r="153">
      <c r="A153" s="155" t="n">
        <v>152</v>
      </c>
      <c r="B153" s="155" t="inlineStr">
        <is>
          <t>Fluoreto de hidrogênio</t>
        </is>
      </c>
      <c r="C153" s="156" t="n">
        <v>129.36</v>
      </c>
      <c r="D153" s="156" t="n">
        <v>135</v>
      </c>
      <c r="E153" s="278" t="n">
        <v>0.04</v>
      </c>
    </row>
    <row r="154">
      <c r="A154" s="155" t="n">
        <v>153</v>
      </c>
      <c r="B154" s="155" t="inlineStr">
        <is>
          <t>Fluoretos, como F</t>
        </is>
      </c>
      <c r="C154" s="156" t="n">
        <v>129.36</v>
      </c>
      <c r="D154" s="156" t="n">
        <v>135</v>
      </c>
      <c r="E154" s="278" t="n">
        <v>0.04</v>
      </c>
    </row>
    <row r="155">
      <c r="A155" s="155" t="n">
        <v>154</v>
      </c>
      <c r="B155" s="155" t="inlineStr">
        <is>
          <t>Formaldeído</t>
        </is>
      </c>
      <c r="C155" s="156" t="n">
        <v>111.72</v>
      </c>
      <c r="D155" s="156" t="n">
        <v>115</v>
      </c>
      <c r="E155" s="278" t="n">
        <v>0.03</v>
      </c>
    </row>
    <row r="156">
      <c r="A156" s="155" t="n">
        <v>155</v>
      </c>
      <c r="B156" s="155" t="inlineStr">
        <is>
          <t>Fosfina</t>
        </is>
      </c>
      <c r="C156" s="156" t="n">
        <v>524.79</v>
      </c>
      <c r="D156" s="156" t="n">
        <v>524.79</v>
      </c>
      <c r="E156" s="278" t="n">
        <v>0</v>
      </c>
    </row>
    <row r="157">
      <c r="A157" s="155" t="n">
        <v>156</v>
      </c>
      <c r="B157" s="155" t="inlineStr">
        <is>
          <t>Gás natural</t>
        </is>
      </c>
      <c r="C157" s="156" t="n">
        <v>129.36</v>
      </c>
      <c r="D157" s="156" t="n">
        <v>135</v>
      </c>
      <c r="E157" s="278" t="n">
        <v>0.04</v>
      </c>
    </row>
    <row r="158">
      <c r="A158" s="155" t="n">
        <v>157</v>
      </c>
      <c r="B158" s="155" t="inlineStr">
        <is>
          <t>Gasolina</t>
        </is>
      </c>
      <c r="C158" s="156" t="n">
        <v>88.2</v>
      </c>
      <c r="D158" s="156" t="n">
        <v>94</v>
      </c>
      <c r="E158" s="278" t="n">
        <v>0.07000000000000001</v>
      </c>
    </row>
    <row r="159">
      <c r="A159" s="155" t="n">
        <v>158</v>
      </c>
      <c r="B159" s="155" t="inlineStr">
        <is>
          <t>GLP (gás liquefeito do petróleo)</t>
        </is>
      </c>
      <c r="C159" s="156" t="n">
        <v>129.36</v>
      </c>
      <c r="D159" s="156" t="n">
        <v>135</v>
      </c>
      <c r="E159" s="278" t="n">
        <v>0.04</v>
      </c>
    </row>
    <row r="160">
      <c r="A160" s="155" t="n">
        <v>159</v>
      </c>
      <c r="B160" s="155" t="inlineStr">
        <is>
          <t>Glutaraldeído, ativado e não ativado</t>
        </is>
      </c>
      <c r="C160" s="156" t="n">
        <v>258.72</v>
      </c>
      <c r="D160" s="156" t="n">
        <v>258.72</v>
      </c>
      <c r="E160" s="278" t="n">
        <v>0</v>
      </c>
    </row>
    <row r="161">
      <c r="A161" s="155" t="n">
        <v>160</v>
      </c>
      <c r="B161" s="155" t="inlineStr">
        <is>
          <t>Grafite (todas as formas, exceto fibras de grafite)</t>
        </is>
      </c>
      <c r="C161" s="156" t="n">
        <v>47.04</v>
      </c>
      <c r="D161" s="156" t="n">
        <v>50</v>
      </c>
      <c r="E161" s="278" t="n">
        <v>0.06</v>
      </c>
    </row>
    <row r="162">
      <c r="A162" s="155" t="n">
        <v>161</v>
      </c>
      <c r="B162" s="155" t="inlineStr">
        <is>
          <t>Grãos, poeira (aveia, trigo, cevada)</t>
        </is>
      </c>
      <c r="C162" s="156" t="n">
        <v>47.04</v>
      </c>
      <c r="D162" s="156" t="n">
        <v>50</v>
      </c>
      <c r="E162" s="278" t="n">
        <v>0.06</v>
      </c>
    </row>
    <row r="163">
      <c r="A163" s="155" t="n">
        <v>162</v>
      </c>
      <c r="B163" s="155" t="inlineStr">
        <is>
          <t>Heptano, todos os isômeros</t>
        </is>
      </c>
      <c r="C163" s="156" t="n">
        <v>88.2</v>
      </c>
      <c r="D163" s="156" t="n">
        <v>94</v>
      </c>
      <c r="E163" s="278" t="n">
        <v>0.07000000000000001</v>
      </c>
    </row>
    <row r="164">
      <c r="A164" s="155" t="n">
        <v>163</v>
      </c>
      <c r="B164" s="155" t="inlineStr">
        <is>
          <t>Hexametileno diisocianato</t>
        </is>
      </c>
      <c r="C164" s="156" t="n">
        <v>194.04</v>
      </c>
      <c r="D164" s="156" t="n">
        <v>194.04</v>
      </c>
      <c r="E164" s="278" t="n">
        <v>0</v>
      </c>
    </row>
    <row r="165">
      <c r="A165" s="155" t="n">
        <v>164</v>
      </c>
      <c r="B165" s="155" t="inlineStr">
        <is>
          <t>Hexano, outros isômeros que não o n-Hexano</t>
        </is>
      </c>
      <c r="C165" s="156" t="n">
        <v>88.2</v>
      </c>
      <c r="D165" s="156" t="n">
        <v>123</v>
      </c>
      <c r="E165" s="278" t="n">
        <v>0.39</v>
      </c>
    </row>
    <row r="166">
      <c r="A166" s="155" t="n">
        <v>165</v>
      </c>
      <c r="B166" s="155" t="inlineStr">
        <is>
          <t>Hexileno glicol</t>
        </is>
      </c>
      <c r="C166" s="156" t="n">
        <v>88.2</v>
      </c>
      <c r="D166" s="156" t="n">
        <v>94</v>
      </c>
      <c r="E166" s="278" t="n">
        <v>0.07000000000000001</v>
      </c>
    </row>
    <row r="167">
      <c r="A167" s="155" t="n">
        <v>166</v>
      </c>
      <c r="B167" s="155" t="inlineStr">
        <is>
          <t>Hidrazina</t>
        </is>
      </c>
      <c r="C167" s="156" t="n">
        <v>182.28</v>
      </c>
      <c r="D167" s="156" t="n">
        <v>182.28</v>
      </c>
      <c r="E167" s="278" t="n">
        <v>0</v>
      </c>
    </row>
    <row r="168">
      <c r="A168" s="155" t="n">
        <v>167</v>
      </c>
      <c r="B168" s="155" t="inlineStr">
        <is>
          <t>Hidroquinona</t>
        </is>
      </c>
      <c r="C168" s="156" t="n">
        <v>135.24</v>
      </c>
      <c r="D168" s="156" t="n">
        <v>140</v>
      </c>
      <c r="E168" s="278" t="n">
        <v>0.04</v>
      </c>
    </row>
    <row r="169">
      <c r="A169" s="155" t="n">
        <v>168</v>
      </c>
      <c r="B169" s="155" t="inlineStr">
        <is>
          <t>Hidróxido de cálcio</t>
        </is>
      </c>
      <c r="C169" s="156" t="n">
        <v>76.44</v>
      </c>
      <c r="D169" s="156" t="n">
        <v>76.44</v>
      </c>
      <c r="E169" s="278" t="n">
        <v>0</v>
      </c>
    </row>
    <row r="170">
      <c r="A170" s="155" t="n">
        <v>169</v>
      </c>
      <c r="B170" s="155" t="inlineStr">
        <is>
          <t>Hidróxido de potássio</t>
        </is>
      </c>
      <c r="C170" s="156" t="n">
        <v>76.44</v>
      </c>
      <c r="D170" s="156" t="n">
        <v>76.44</v>
      </c>
      <c r="E170" s="278" t="n">
        <v>0</v>
      </c>
    </row>
    <row r="171">
      <c r="A171" s="155" t="n">
        <v>170</v>
      </c>
      <c r="B171" s="155" t="inlineStr">
        <is>
          <t>Hidróxido de sódio</t>
        </is>
      </c>
      <c r="C171" s="156" t="n">
        <v>76.44</v>
      </c>
      <c r="D171" s="156" t="n">
        <v>76.44</v>
      </c>
      <c r="E171" s="278" t="n">
        <v>0</v>
      </c>
    </row>
    <row r="172">
      <c r="A172" s="155" t="n">
        <v>171</v>
      </c>
      <c r="B172" s="155" t="inlineStr">
        <is>
          <t>Indeno</t>
        </is>
      </c>
      <c r="C172" s="156" t="n">
        <v>88.31999999999999</v>
      </c>
      <c r="D172" s="156" t="n">
        <v>94</v>
      </c>
      <c r="E172" s="278" t="n">
        <v>0.06</v>
      </c>
    </row>
    <row r="173">
      <c r="A173" s="155" t="n">
        <v>172</v>
      </c>
      <c r="B173" s="155" t="inlineStr">
        <is>
          <t>Indeno[1,2,3-cd]pireno</t>
        </is>
      </c>
      <c r="C173" s="156" t="n">
        <v>194.04</v>
      </c>
      <c r="D173" s="156" t="n">
        <v>194.04</v>
      </c>
      <c r="E173" s="278" t="n">
        <v>0</v>
      </c>
    </row>
    <row r="174">
      <c r="A174" s="155" t="n">
        <v>173</v>
      </c>
      <c r="B174" s="155" t="inlineStr">
        <is>
          <t>Iodetos (FI)</t>
        </is>
      </c>
      <c r="C174" s="156" t="n">
        <v>88.2</v>
      </c>
      <c r="D174" s="156" t="n">
        <v>94</v>
      </c>
      <c r="E174" s="278" t="n">
        <v>0.07000000000000001</v>
      </c>
    </row>
    <row r="175">
      <c r="A175" s="155" t="n">
        <v>174</v>
      </c>
      <c r="B175" s="155" t="inlineStr">
        <is>
          <t>Iodo (FI)</t>
        </is>
      </c>
      <c r="C175" s="156" t="n">
        <v>88.2</v>
      </c>
      <c r="D175" s="156" t="n">
        <v>94</v>
      </c>
      <c r="E175" s="278" t="n">
        <v>0.07000000000000001</v>
      </c>
    </row>
    <row r="176">
      <c r="A176" s="155" t="n">
        <v>175</v>
      </c>
      <c r="B176" s="155" t="inlineStr">
        <is>
          <t>Iodo (FV)</t>
        </is>
      </c>
      <c r="C176" s="156" t="n">
        <v>88.62</v>
      </c>
      <c r="D176" s="156" t="n">
        <v>94</v>
      </c>
      <c r="E176" s="278" t="n">
        <v>0.06</v>
      </c>
    </row>
    <row r="177">
      <c r="A177" s="155" t="n">
        <v>176</v>
      </c>
      <c r="B177" s="155" t="inlineStr">
        <is>
          <t>Isoforona</t>
        </is>
      </c>
      <c r="C177" s="156" t="n">
        <v>204.02</v>
      </c>
      <c r="D177" s="156" t="n">
        <v>204.02</v>
      </c>
      <c r="E177" s="278" t="n">
        <v>0</v>
      </c>
    </row>
    <row r="178">
      <c r="A178" s="155" t="n">
        <v>177</v>
      </c>
      <c r="B178" s="155" t="inlineStr">
        <is>
          <t>Isoparafina (C8-C14)</t>
        </is>
      </c>
      <c r="C178" s="156" t="n">
        <v>76.44</v>
      </c>
      <c r="D178" s="156" t="n">
        <v>200</v>
      </c>
      <c r="E178" s="278" t="n">
        <v>1.62</v>
      </c>
    </row>
    <row r="179">
      <c r="A179" s="155" t="n">
        <v>178</v>
      </c>
      <c r="B179" s="155" t="inlineStr">
        <is>
          <t>Lantânio</t>
        </is>
      </c>
      <c r="C179" s="156" t="n">
        <v>76.44</v>
      </c>
      <c r="D179" s="156" t="n">
        <v>76.44</v>
      </c>
      <c r="E179" s="278" t="n">
        <v>0</v>
      </c>
    </row>
    <row r="180">
      <c r="A180" s="155" t="n">
        <v>179</v>
      </c>
      <c r="B180" s="155" t="inlineStr">
        <is>
          <t>Lítio</t>
        </is>
      </c>
      <c r="C180" s="156" t="n">
        <v>47.04</v>
      </c>
      <c r="D180" s="156" t="n">
        <v>74</v>
      </c>
      <c r="E180" s="278" t="n">
        <v>0.57</v>
      </c>
    </row>
    <row r="181">
      <c r="A181" s="155" t="n">
        <v>180</v>
      </c>
      <c r="B181" s="155" t="inlineStr">
        <is>
          <t>Madeira - Poeiras, Cedro vermelho do Oeste</t>
        </is>
      </c>
      <c r="C181" s="156" t="n">
        <v>47.04</v>
      </c>
      <c r="D181" s="156" t="n">
        <v>50</v>
      </c>
      <c r="E181" s="278" t="n">
        <v>0.06</v>
      </c>
    </row>
    <row r="182">
      <c r="A182" s="155" t="n">
        <v>181</v>
      </c>
      <c r="B182" s="155" t="inlineStr">
        <is>
          <t>Madeira - Poeiras, Todas as outras espécies</t>
        </is>
      </c>
      <c r="C182" s="156" t="n">
        <v>76.44</v>
      </c>
      <c r="D182" s="156" t="n">
        <v>76.44</v>
      </c>
      <c r="E182" s="278" t="n">
        <v>0</v>
      </c>
    </row>
    <row r="183">
      <c r="A183" s="155" t="n">
        <v>182</v>
      </c>
      <c r="B183" s="155" t="inlineStr">
        <is>
          <t>Manganês e seus compostos</t>
        </is>
      </c>
      <c r="C183" s="156" t="n">
        <v>76.44</v>
      </c>
      <c r="D183" s="156" t="n">
        <v>76.44</v>
      </c>
      <c r="E183" s="278" t="n">
        <v>0</v>
      </c>
    </row>
    <row r="184">
      <c r="A184" s="155" t="n">
        <v>183</v>
      </c>
      <c r="B184" s="155" t="inlineStr">
        <is>
          <t>Manganês, compostos inorgânicos, como Mn</t>
        </is>
      </c>
      <c r="C184" s="156" t="n">
        <v>76.44</v>
      </c>
      <c r="D184" s="156" t="n">
        <v>76.44</v>
      </c>
      <c r="E184" s="278" t="n">
        <v>0</v>
      </c>
    </row>
    <row r="185">
      <c r="A185" s="155" t="n">
        <v>184</v>
      </c>
      <c r="B185" s="155" t="inlineStr">
        <is>
          <t>Manganês, elementar</t>
        </is>
      </c>
      <c r="C185" s="156" t="n">
        <v>76.44</v>
      </c>
      <c r="D185" s="156" t="n">
        <v>76.44</v>
      </c>
      <c r="E185" s="278" t="n">
        <v>0</v>
      </c>
    </row>
    <row r="186">
      <c r="A186" s="155" t="n">
        <v>185</v>
      </c>
      <c r="B186" s="155" t="inlineStr">
        <is>
          <t>Mercúrio, Hg elementar e formas inorgânicas</t>
        </is>
      </c>
      <c r="C186" s="156" t="n">
        <v>182.28</v>
      </c>
      <c r="D186" s="156" t="n">
        <v>182.28</v>
      </c>
      <c r="E186" s="278" t="n">
        <v>0</v>
      </c>
    </row>
    <row r="187">
      <c r="A187" s="155" t="n">
        <v>186</v>
      </c>
      <c r="B187" s="155" t="inlineStr">
        <is>
          <t>Mesetileno</t>
        </is>
      </c>
      <c r="C187" s="156" t="n">
        <v>88.2</v>
      </c>
      <c r="D187" s="156" t="n">
        <v>123</v>
      </c>
      <c r="E187" s="278" t="n">
        <v>0.39</v>
      </c>
    </row>
    <row r="188">
      <c r="A188" s="155" t="n">
        <v>187</v>
      </c>
      <c r="B188" s="155" t="inlineStr">
        <is>
          <t>Metabissulfito de sódio</t>
        </is>
      </c>
      <c r="C188" s="156" t="n">
        <v>75.59999999999999</v>
      </c>
      <c r="D188" s="156" t="n">
        <v>75.59999999999999</v>
      </c>
      <c r="E188" s="278" t="n">
        <v>0</v>
      </c>
    </row>
    <row r="189">
      <c r="A189" s="155" t="n">
        <v>188</v>
      </c>
      <c r="B189" s="155" t="inlineStr">
        <is>
          <t>Metacrilato de metila</t>
        </is>
      </c>
      <c r="C189" s="156" t="n">
        <v>88.2</v>
      </c>
      <c r="D189" s="156" t="n">
        <v>94</v>
      </c>
      <c r="E189" s="278" t="n">
        <v>0.07000000000000001</v>
      </c>
    </row>
    <row r="190">
      <c r="A190" s="155" t="n">
        <v>189</v>
      </c>
      <c r="B190" s="155" t="inlineStr">
        <is>
          <t>Metais duros, contendo carboneto de tungstênio e cobalto, como Co</t>
        </is>
      </c>
      <c r="C190" s="156" t="n">
        <v>76.44</v>
      </c>
      <c r="D190" s="156" t="n">
        <v>76.44</v>
      </c>
      <c r="E190" s="278" t="n">
        <v>0</v>
      </c>
    </row>
    <row r="191">
      <c r="A191" s="155" t="n">
        <v>190</v>
      </c>
      <c r="B191" s="155" t="inlineStr">
        <is>
          <t>Metais FI (Mg, Mn, Mo, Ni, Cr, Sn, Co)</t>
        </is>
      </c>
      <c r="C191" s="156" t="n">
        <v>158.32</v>
      </c>
      <c r="D191" s="156" t="n">
        <v>172</v>
      </c>
      <c r="E191" s="278" t="n">
        <v>0.09</v>
      </c>
    </row>
    <row r="192">
      <c r="A192" s="155" t="n">
        <v>191</v>
      </c>
      <c r="B192" s="155" t="inlineStr">
        <is>
          <t>Metais FR (Al, Cd, Fe, Mn, Mo, TiO2, Zn)</t>
        </is>
      </c>
      <c r="C192" s="156" t="n">
        <v>158.32</v>
      </c>
      <c r="D192" s="156" t="n">
        <v>172</v>
      </c>
      <c r="E192" s="278" t="n">
        <v>0.09</v>
      </c>
    </row>
    <row r="193">
      <c r="A193" s="155" t="n">
        <v>192</v>
      </c>
      <c r="B193" s="155" t="inlineStr">
        <is>
          <t>Metais FT (Sb, B, Cd, Ca, Pb, Cu, Mn, Sn)</t>
        </is>
      </c>
      <c r="C193" s="156" t="n">
        <v>181.55</v>
      </c>
      <c r="D193" s="156" t="n">
        <v>197</v>
      </c>
      <c r="E193" s="278" t="n">
        <v>0.09</v>
      </c>
    </row>
    <row r="194">
      <c r="A194" s="155" t="n">
        <v>193</v>
      </c>
      <c r="B194" s="155" t="inlineStr">
        <is>
          <t>Metalworking fluids</t>
        </is>
      </c>
      <c r="C194" s="156" t="n">
        <v>129.36</v>
      </c>
      <c r="D194" s="156" t="n">
        <v>135</v>
      </c>
      <c r="E194" s="278" t="n">
        <v>0.04</v>
      </c>
    </row>
    <row r="195">
      <c r="A195" s="155" t="n">
        <v>194</v>
      </c>
      <c r="B195" s="155" t="inlineStr">
        <is>
          <t>Metano</t>
        </is>
      </c>
      <c r="C195" s="156" t="n">
        <v>129.36</v>
      </c>
      <c r="D195" s="156" t="n">
        <v>135</v>
      </c>
      <c r="E195" s="278" t="n">
        <v>0.04</v>
      </c>
    </row>
    <row r="196">
      <c r="A196" s="155" t="n">
        <v>195</v>
      </c>
      <c r="B196" s="155" t="inlineStr">
        <is>
          <t>Metanol</t>
        </is>
      </c>
      <c r="C196" s="156" t="n">
        <v>88.2</v>
      </c>
      <c r="D196" s="156" t="n">
        <v>94</v>
      </c>
      <c r="E196" s="278" t="n">
        <v>0.07000000000000001</v>
      </c>
    </row>
    <row r="197">
      <c r="A197" s="155" t="n">
        <v>196</v>
      </c>
      <c r="B197" s="155" t="inlineStr">
        <is>
          <t>Metil etil cetona</t>
        </is>
      </c>
      <c r="C197" s="156" t="n">
        <v>88.2</v>
      </c>
      <c r="D197" s="156" t="n">
        <v>94</v>
      </c>
      <c r="E197" s="278" t="n">
        <v>0.07000000000000001</v>
      </c>
    </row>
    <row r="198">
      <c r="A198" s="155" t="n">
        <v>197</v>
      </c>
      <c r="B198" s="155" t="inlineStr">
        <is>
          <t>Metil isobutil carbinol</t>
        </is>
      </c>
      <c r="C198" s="156" t="n">
        <v>88.2</v>
      </c>
      <c r="D198" s="156" t="n">
        <v>94</v>
      </c>
      <c r="E198" s="278" t="n">
        <v>0.07000000000000001</v>
      </c>
    </row>
    <row r="199">
      <c r="A199" s="155" t="n">
        <v>198</v>
      </c>
      <c r="B199" s="155" t="inlineStr">
        <is>
          <t>Metil isobutil cetona</t>
        </is>
      </c>
      <c r="C199" s="156" t="n">
        <v>88.2</v>
      </c>
      <c r="D199" s="156" t="n">
        <v>94</v>
      </c>
      <c r="E199" s="278" t="n">
        <v>0.07000000000000001</v>
      </c>
    </row>
    <row r="200">
      <c r="A200" s="155" t="n">
        <v>199</v>
      </c>
      <c r="B200" s="155" t="inlineStr">
        <is>
          <t>Metileno bisfenil isocianato</t>
        </is>
      </c>
      <c r="C200" s="156" t="n">
        <v>194.04</v>
      </c>
      <c r="D200" s="156" t="n">
        <v>194.04</v>
      </c>
      <c r="E200" s="278" t="n">
        <v>0</v>
      </c>
    </row>
    <row r="201">
      <c r="A201" s="155" t="n">
        <v>200</v>
      </c>
      <c r="B201" s="155" t="inlineStr">
        <is>
          <t>Metomil</t>
        </is>
      </c>
      <c r="C201" s="156" t="n">
        <v>598.61</v>
      </c>
      <c r="D201" s="156" t="n">
        <v>598.61</v>
      </c>
      <c r="E201" s="278" t="n">
        <v>0</v>
      </c>
    </row>
    <row r="202">
      <c r="A202" s="155" t="n">
        <v>201</v>
      </c>
      <c r="B202" s="155" t="inlineStr">
        <is>
          <t>Mica</t>
        </is>
      </c>
      <c r="C202" s="156" t="n">
        <v>47.04</v>
      </c>
      <c r="D202" s="156" t="n">
        <v>50</v>
      </c>
      <c r="E202" s="278" t="n">
        <v>0.06</v>
      </c>
    </row>
    <row r="203">
      <c r="A203" s="155" t="n">
        <v>202</v>
      </c>
      <c r="B203" s="155" t="inlineStr">
        <is>
          <t>Molibdênio, como Mo, compostos solúveis</t>
        </is>
      </c>
      <c r="C203" s="156" t="n">
        <v>76.44</v>
      </c>
      <c r="D203" s="156" t="n">
        <v>76.44</v>
      </c>
      <c r="E203" s="278" t="n">
        <v>0</v>
      </c>
    </row>
    <row r="204">
      <c r="A204" s="155" t="n">
        <v>203</v>
      </c>
      <c r="B204" s="155" t="inlineStr">
        <is>
          <t>Molibdênio, como Mo, metal e compostos insolúveis (I)</t>
        </is>
      </c>
      <c r="C204" s="156" t="n">
        <v>76.44</v>
      </c>
      <c r="D204" s="156" t="n">
        <v>76.44</v>
      </c>
      <c r="E204" s="278" t="n">
        <v>0</v>
      </c>
    </row>
    <row r="205">
      <c r="A205" s="155" t="n">
        <v>204</v>
      </c>
      <c r="B205" s="155" t="inlineStr">
        <is>
          <t>Molibdênio, como Mo, metal e compostos insolúveis (R)</t>
        </is>
      </c>
      <c r="C205" s="156" t="n">
        <v>76.44</v>
      </c>
      <c r="D205" s="156" t="n">
        <v>76.44</v>
      </c>
      <c r="E205" s="278" t="n">
        <v>0</v>
      </c>
    </row>
    <row r="206">
      <c r="A206" s="155" t="n">
        <v>205</v>
      </c>
      <c r="B206" s="155" t="inlineStr">
        <is>
          <t>Monóxido de carbono</t>
        </is>
      </c>
      <c r="C206" s="156" t="n">
        <v>129.36</v>
      </c>
      <c r="D206" s="156" t="n">
        <v>135</v>
      </c>
      <c r="E206" s="278" t="n">
        <v>0.04</v>
      </c>
    </row>
    <row r="207">
      <c r="A207" s="155" t="n">
        <v>206</v>
      </c>
      <c r="B207" s="155" t="inlineStr">
        <is>
          <t>Morfolina</t>
        </is>
      </c>
      <c r="C207" s="156" t="n">
        <v>88.2</v>
      </c>
      <c r="D207" s="156" t="n">
        <v>94</v>
      </c>
      <c r="E207" s="278" t="n">
        <v>0.07000000000000001</v>
      </c>
    </row>
    <row r="208">
      <c r="A208" s="155" t="n">
        <v>207</v>
      </c>
      <c r="B208" s="155" t="inlineStr">
        <is>
          <t>n-Decano</t>
        </is>
      </c>
      <c r="C208" s="156" t="n">
        <v>88.2</v>
      </c>
      <c r="D208" s="156" t="n">
        <v>94</v>
      </c>
      <c r="E208" s="278" t="n">
        <v>0.07000000000000001</v>
      </c>
    </row>
    <row r="209">
      <c r="A209" s="155" t="n">
        <v>208</v>
      </c>
      <c r="B209" s="155" t="inlineStr">
        <is>
          <t>n-Dodecano</t>
        </is>
      </c>
      <c r="C209" s="156" t="n">
        <v>88.2</v>
      </c>
      <c r="D209" s="156" t="n">
        <v>94</v>
      </c>
      <c r="E209" s="278" t="n">
        <v>0.07000000000000001</v>
      </c>
    </row>
    <row r="210">
      <c r="A210" s="155" t="n">
        <v>209</v>
      </c>
      <c r="B210" s="155" t="inlineStr">
        <is>
          <t>n-Hexadecano</t>
        </is>
      </c>
      <c r="C210" s="156" t="n">
        <v>86.31999999999999</v>
      </c>
      <c r="D210" s="156" t="n">
        <v>94</v>
      </c>
      <c r="E210" s="278" t="n">
        <v>0.09</v>
      </c>
    </row>
    <row r="211">
      <c r="A211" s="155" t="n">
        <v>210</v>
      </c>
      <c r="B211" s="155" t="inlineStr">
        <is>
          <t>n-Hexano</t>
        </is>
      </c>
      <c r="C211" s="156" t="n">
        <v>88.2</v>
      </c>
      <c r="D211" s="156" t="n">
        <v>94</v>
      </c>
      <c r="E211" s="278" t="n">
        <v>0.07000000000000001</v>
      </c>
    </row>
    <row r="212">
      <c r="A212" s="155" t="n">
        <v>211</v>
      </c>
      <c r="B212" s="155" t="inlineStr">
        <is>
          <t>n-Metilpirrolidona</t>
        </is>
      </c>
      <c r="C212" s="156" t="n">
        <v>88.2</v>
      </c>
      <c r="D212" s="156" t="n">
        <v>94</v>
      </c>
      <c r="E212" s="278" t="n">
        <v>0.07000000000000001</v>
      </c>
    </row>
    <row r="213">
      <c r="A213" s="155" t="n">
        <v>212</v>
      </c>
      <c r="B213" s="155" t="inlineStr">
        <is>
          <t>n-Pentadecano</t>
        </is>
      </c>
      <c r="C213" s="156" t="n">
        <v>86.31999999999999</v>
      </c>
      <c r="D213" s="156" t="n">
        <v>94</v>
      </c>
      <c r="E213" s="278" t="n">
        <v>0.09</v>
      </c>
    </row>
    <row r="214">
      <c r="A214" s="155" t="n">
        <v>213</v>
      </c>
      <c r="B214" s="155" t="inlineStr">
        <is>
          <t>n-Propanol</t>
        </is>
      </c>
      <c r="C214" s="156" t="n">
        <v>88.2</v>
      </c>
      <c r="D214" s="156" t="n">
        <v>94</v>
      </c>
      <c r="E214" s="278" t="n">
        <v>0.07000000000000001</v>
      </c>
    </row>
    <row r="215">
      <c r="A215" s="155" t="n">
        <v>214</v>
      </c>
      <c r="B215" s="155" t="inlineStr">
        <is>
          <t>n-Tetradecano</t>
        </is>
      </c>
      <c r="C215" s="156" t="n">
        <v>86.31999999999999</v>
      </c>
      <c r="D215" s="156" t="n">
        <v>94</v>
      </c>
      <c r="E215" s="278" t="n">
        <v>0.09</v>
      </c>
    </row>
    <row r="216">
      <c r="A216" s="155" t="n">
        <v>215</v>
      </c>
      <c r="B216" s="155" t="inlineStr">
        <is>
          <t>n-Tridecano</t>
        </is>
      </c>
      <c r="C216" s="156" t="n">
        <v>86.31999999999999</v>
      </c>
      <c r="D216" s="156" t="n">
        <v>94</v>
      </c>
      <c r="E216" s="278" t="n">
        <v>0.09</v>
      </c>
    </row>
    <row r="217">
      <c r="A217" s="155" t="n">
        <v>216</v>
      </c>
      <c r="B217" s="155" t="inlineStr">
        <is>
          <t>n-Undecano</t>
        </is>
      </c>
      <c r="C217" s="156" t="n">
        <v>88.2</v>
      </c>
      <c r="D217" s="156" t="n">
        <v>94</v>
      </c>
      <c r="E217" s="278" t="n">
        <v>0.07000000000000001</v>
      </c>
    </row>
    <row r="218">
      <c r="A218" s="155" t="n">
        <v>217</v>
      </c>
      <c r="B218" s="155" t="inlineStr">
        <is>
          <t>Nafta de petróleo</t>
        </is>
      </c>
      <c r="C218" s="156" t="n">
        <v>154.27</v>
      </c>
      <c r="D218" s="156" t="n">
        <v>165</v>
      </c>
      <c r="E218" s="278" t="n">
        <v>0.07000000000000001</v>
      </c>
    </row>
    <row r="219">
      <c r="A219" s="155" t="n">
        <v>218</v>
      </c>
      <c r="B219" s="155" t="inlineStr">
        <is>
          <t>Nafta PCR</t>
        </is>
      </c>
      <c r="C219" s="156" t="n">
        <v>411.6</v>
      </c>
      <c r="D219" s="156" t="n">
        <v>411.6</v>
      </c>
      <c r="E219" s="278" t="n">
        <v>0</v>
      </c>
    </row>
    <row r="220">
      <c r="A220" s="155" t="n">
        <v>219</v>
      </c>
      <c r="B220" s="155" t="inlineStr">
        <is>
          <t>Naftaleno</t>
        </is>
      </c>
      <c r="C220" s="156" t="n">
        <v>194.04</v>
      </c>
      <c r="D220" s="156" t="n">
        <v>194.04</v>
      </c>
      <c r="E220" s="278" t="n">
        <v>0</v>
      </c>
    </row>
    <row r="221">
      <c r="A221" s="155" t="n">
        <v>220</v>
      </c>
      <c r="B221" s="155" t="inlineStr">
        <is>
          <t>Naftas Leves</t>
        </is>
      </c>
      <c r="C221" s="156" t="n">
        <v>177.4</v>
      </c>
      <c r="D221" s="156" t="n">
        <v>190</v>
      </c>
      <c r="E221" s="278" t="n">
        <v>0.07000000000000001</v>
      </c>
    </row>
    <row r="222">
      <c r="A222" s="155" t="n">
        <v>221</v>
      </c>
      <c r="B222" s="155" t="inlineStr">
        <is>
          <t>Naftas Pesadas</t>
        </is>
      </c>
      <c r="C222" s="156" t="n">
        <v>329.28</v>
      </c>
      <c r="D222" s="156" t="n">
        <v>380</v>
      </c>
      <c r="E222" s="278" t="n">
        <v>0.15</v>
      </c>
    </row>
    <row r="223">
      <c r="A223" s="155" t="n">
        <v>222</v>
      </c>
      <c r="B223" s="155" t="inlineStr">
        <is>
          <t>Negro de fumo</t>
        </is>
      </c>
      <c r="C223" s="156" t="n">
        <v>47.04</v>
      </c>
      <c r="D223" s="156" t="n">
        <v>50</v>
      </c>
      <c r="E223" s="278" t="n">
        <v>0.06</v>
      </c>
    </row>
    <row r="224">
      <c r="A224" s="155" t="n">
        <v>223</v>
      </c>
      <c r="B224" s="155" t="inlineStr">
        <is>
          <t>Níquel e compostos inorgânicos incluindo subsulfeto de níquel, como Ni elementar</t>
        </is>
      </c>
      <c r="C224" s="156" t="n">
        <v>76.44</v>
      </c>
      <c r="D224" s="156" t="n">
        <v>76.44</v>
      </c>
      <c r="E224" s="278" t="n">
        <v>0</v>
      </c>
    </row>
    <row r="225">
      <c r="A225" s="155" t="n">
        <v>224</v>
      </c>
      <c r="B225" s="155" t="inlineStr">
        <is>
          <t>Níquel e compostos inorgânicos insolúveis, (NOS)</t>
        </is>
      </c>
      <c r="C225" s="156" t="n">
        <v>76.44</v>
      </c>
      <c r="D225" s="156" t="n">
        <v>76.44</v>
      </c>
      <c r="E225" s="278" t="n">
        <v>0</v>
      </c>
    </row>
    <row r="226">
      <c r="A226" s="155" t="n">
        <v>225</v>
      </c>
      <c r="B226" s="155" t="inlineStr">
        <is>
          <t>Nonano</t>
        </is>
      </c>
      <c r="C226" s="156" t="n">
        <v>88.2</v>
      </c>
      <c r="D226" s="156" t="n">
        <v>94</v>
      </c>
      <c r="E226" s="278" t="n">
        <v>0.07000000000000001</v>
      </c>
    </row>
    <row r="227">
      <c r="A227" s="155" t="n">
        <v>226</v>
      </c>
      <c r="B227" s="155" t="inlineStr">
        <is>
          <t>o-Toluidina</t>
        </is>
      </c>
      <c r="C227" s="156" t="n">
        <v>141.12</v>
      </c>
      <c r="D227" s="156" t="n">
        <v>143</v>
      </c>
      <c r="E227" s="278" t="n">
        <v>0.01</v>
      </c>
    </row>
    <row r="228">
      <c r="A228" s="155" t="n">
        <v>227</v>
      </c>
      <c r="B228" s="155" t="inlineStr">
        <is>
          <t>Octano, todos os isômeros</t>
        </is>
      </c>
      <c r="C228" s="156" t="n">
        <v>88.2</v>
      </c>
      <c r="D228" s="156" t="n">
        <v>94</v>
      </c>
      <c r="E228" s="278" t="n">
        <v>0.07000000000000001</v>
      </c>
    </row>
    <row r="229">
      <c r="A229" s="155" t="n">
        <v>228</v>
      </c>
      <c r="B229" s="155" t="inlineStr">
        <is>
          <t>Óleo mineral, excluídos os fluidos de trabalho com metais</t>
        </is>
      </c>
      <c r="C229" s="156" t="n">
        <v>129.36</v>
      </c>
      <c r="D229" s="156" t="n">
        <v>135</v>
      </c>
      <c r="E229" s="278" t="n">
        <v>0.04</v>
      </c>
    </row>
    <row r="230">
      <c r="A230" s="155" t="n">
        <v>229</v>
      </c>
      <c r="B230" s="155" t="inlineStr">
        <is>
          <t>Óxido de boro</t>
        </is>
      </c>
      <c r="C230" s="156" t="n">
        <v>76.44</v>
      </c>
      <c r="D230" s="156" t="n">
        <v>76.44</v>
      </c>
      <c r="E230" s="278" t="n">
        <v>0</v>
      </c>
    </row>
    <row r="231">
      <c r="A231" s="155" t="n">
        <v>230</v>
      </c>
      <c r="B231" s="155" t="inlineStr">
        <is>
          <t>Óxido de cálcio</t>
        </is>
      </c>
      <c r="C231" s="156" t="n">
        <v>76.44</v>
      </c>
      <c r="D231" s="156" t="n">
        <v>76.44</v>
      </c>
      <c r="E231" s="278" t="n">
        <v>0</v>
      </c>
    </row>
    <row r="232">
      <c r="A232" s="155" t="n">
        <v>231</v>
      </c>
      <c r="B232" s="155" t="inlineStr">
        <is>
          <t>Óxido de etileno</t>
        </is>
      </c>
      <c r="C232" s="156" t="n">
        <v>141.12</v>
      </c>
      <c r="D232" s="156" t="n">
        <v>143</v>
      </c>
      <c r="E232" s="278" t="n">
        <v>0.01</v>
      </c>
    </row>
    <row r="233">
      <c r="A233" s="155" t="n">
        <v>232</v>
      </c>
      <c r="B233" s="155" t="inlineStr">
        <is>
          <t>Óxido de magnésio</t>
        </is>
      </c>
      <c r="C233" s="156" t="n">
        <v>76.44</v>
      </c>
      <c r="D233" s="156" t="n">
        <v>76.44</v>
      </c>
      <c r="E233" s="278" t="n">
        <v>0</v>
      </c>
    </row>
    <row r="234">
      <c r="A234" s="155" t="n">
        <v>233</v>
      </c>
      <c r="B234" s="155" t="inlineStr">
        <is>
          <t>Óxido de Mesitila</t>
        </is>
      </c>
      <c r="C234" s="156" t="n">
        <v>205.8</v>
      </c>
      <c r="D234" s="156" t="n">
        <v>205.8</v>
      </c>
      <c r="E234" s="278" t="n">
        <v>0</v>
      </c>
    </row>
    <row r="235">
      <c r="A235" s="155" t="n">
        <v>234</v>
      </c>
      <c r="B235" s="155" t="inlineStr">
        <is>
          <t>Óxido de propileno</t>
        </is>
      </c>
      <c r="C235" s="156" t="n">
        <v>99.95999999999999</v>
      </c>
      <c r="D235" s="156" t="n">
        <v>105</v>
      </c>
      <c r="E235" s="278" t="n">
        <v>0.05</v>
      </c>
    </row>
    <row r="236">
      <c r="A236" s="155" t="n">
        <v>235</v>
      </c>
      <c r="B236" s="155" t="inlineStr">
        <is>
          <t>Óxido de zinco</t>
        </is>
      </c>
      <c r="C236" s="156" t="n">
        <v>76.44</v>
      </c>
      <c r="D236" s="156" t="n">
        <v>76.44</v>
      </c>
      <c r="E236" s="278" t="n">
        <v>0</v>
      </c>
    </row>
    <row r="237">
      <c r="A237" s="155" t="n">
        <v>236</v>
      </c>
      <c r="B237" s="155" t="inlineStr">
        <is>
          <t>Óxido nítrico</t>
        </is>
      </c>
      <c r="C237" s="156" t="n">
        <v>282.24</v>
      </c>
      <c r="D237" s="156" t="n">
        <v>282.24</v>
      </c>
      <c r="E237" s="278" t="n">
        <v>0</v>
      </c>
    </row>
    <row r="238">
      <c r="A238" s="155" t="n">
        <v>237</v>
      </c>
      <c r="B238" s="155" t="inlineStr">
        <is>
          <t>Ozônio</t>
        </is>
      </c>
      <c r="C238" s="156" t="n">
        <v>129.36</v>
      </c>
      <c r="D238" s="156" t="n">
        <v>135</v>
      </c>
      <c r="E238" s="278" t="n">
        <v>0.04</v>
      </c>
    </row>
    <row r="239">
      <c r="A239" s="155" t="n">
        <v>238</v>
      </c>
      <c r="B239" s="155" t="inlineStr">
        <is>
          <t>Parafina, cera (fumos)</t>
        </is>
      </c>
      <c r="C239" s="156" t="n">
        <v>129.36</v>
      </c>
      <c r="D239" s="156" t="n">
        <v>135</v>
      </c>
      <c r="E239" s="278" t="n">
        <v>0.04</v>
      </c>
    </row>
    <row r="240">
      <c r="A240" s="155" t="n">
        <v>239</v>
      </c>
      <c r="B240" s="155" t="inlineStr">
        <is>
          <t>Particulado Inalável (PNOS)</t>
        </is>
      </c>
      <c r="C240" s="156" t="n">
        <v>47.04</v>
      </c>
      <c r="D240" s="156" t="n">
        <v>50</v>
      </c>
      <c r="E240" s="278" t="n">
        <v>0.06</v>
      </c>
    </row>
    <row r="241">
      <c r="A241" s="155" t="n">
        <v>240</v>
      </c>
      <c r="B241" s="155" t="inlineStr">
        <is>
          <t>Particulado Respirável (PNOS)</t>
        </is>
      </c>
      <c r="C241" s="156" t="n">
        <v>47.04</v>
      </c>
      <c r="D241" s="156" t="n">
        <v>50</v>
      </c>
      <c r="E241" s="278" t="n">
        <v>0.06</v>
      </c>
    </row>
    <row r="242">
      <c r="A242" s="155" t="n">
        <v>241</v>
      </c>
      <c r="B242" s="155" t="inlineStr">
        <is>
          <t>Pentano, todos os isômeros</t>
        </is>
      </c>
      <c r="C242" s="156" t="n">
        <v>88.2</v>
      </c>
      <c r="D242" s="156" t="n">
        <v>125</v>
      </c>
      <c r="E242" s="278" t="n">
        <v>0.42</v>
      </c>
    </row>
    <row r="243">
      <c r="A243" s="155" t="n">
        <v>242</v>
      </c>
      <c r="B243" s="155" t="inlineStr">
        <is>
          <t>Peróxido de hidrogênio</t>
        </is>
      </c>
      <c r="C243" s="156" t="n">
        <v>141.12</v>
      </c>
      <c r="D243" s="156" t="n">
        <v>143</v>
      </c>
      <c r="E243" s="278" t="n">
        <v>0.01</v>
      </c>
    </row>
    <row r="244">
      <c r="A244" s="155" t="n">
        <v>243</v>
      </c>
      <c r="B244" s="155" t="inlineStr">
        <is>
          <t>Picloram</t>
        </is>
      </c>
      <c r="C244" s="156" t="n">
        <v>47.04</v>
      </c>
      <c r="D244" s="156" t="n">
        <v>50</v>
      </c>
      <c r="E244" s="278" t="n">
        <v>0.06</v>
      </c>
    </row>
    <row r="245">
      <c r="A245" s="155" t="n">
        <v>244</v>
      </c>
      <c r="B245" s="155" t="inlineStr">
        <is>
          <t>Pireno</t>
        </is>
      </c>
      <c r="C245" s="156" t="n">
        <v>194.04</v>
      </c>
      <c r="D245" s="156" t="n">
        <v>194.04</v>
      </c>
      <c r="E245" s="278" t="n">
        <v>0</v>
      </c>
    </row>
    <row r="246">
      <c r="A246" s="155" t="n">
        <v>245</v>
      </c>
      <c r="B246" s="155" t="inlineStr">
        <is>
          <t>Piridina</t>
        </is>
      </c>
      <c r="C246" s="156" t="n">
        <v>129.36</v>
      </c>
      <c r="D246" s="156" t="n">
        <v>135</v>
      </c>
      <c r="E246" s="278" t="n">
        <v>0.04</v>
      </c>
    </row>
    <row r="247">
      <c r="A247" s="155" t="n">
        <v>246</v>
      </c>
      <c r="B247" s="155" t="inlineStr">
        <is>
          <t>Pirimifos metil</t>
        </is>
      </c>
      <c r="C247" s="156" t="n">
        <v>458.64</v>
      </c>
      <c r="D247" s="156" t="n">
        <v>458.64</v>
      </c>
      <c r="E247" s="278" t="n">
        <v>0</v>
      </c>
    </row>
    <row r="248">
      <c r="A248" s="155" t="n">
        <v>247</v>
      </c>
      <c r="B248" s="155" t="inlineStr">
        <is>
          <t>Poeira Respirável</t>
        </is>
      </c>
      <c r="C248" s="156" t="n">
        <v>47.04</v>
      </c>
      <c r="D248" s="156" t="n">
        <v>50</v>
      </c>
      <c r="E248" s="278" t="n">
        <v>0.06</v>
      </c>
    </row>
    <row r="249">
      <c r="A249" s="155" t="n">
        <v>248</v>
      </c>
      <c r="B249" s="155" t="inlineStr">
        <is>
          <t>Poeira Respirável + Sílica Livre Cristalina</t>
        </is>
      </c>
      <c r="C249" s="156" t="n">
        <v>142.3</v>
      </c>
      <c r="D249" s="156" t="n">
        <v>142.3</v>
      </c>
      <c r="E249" s="278" t="n">
        <v>0</v>
      </c>
    </row>
    <row r="250">
      <c r="A250" s="155" t="n">
        <v>249</v>
      </c>
      <c r="B250" s="155" t="inlineStr">
        <is>
          <t>Poeira Total</t>
        </is>
      </c>
      <c r="C250" s="156" t="n">
        <v>47.04</v>
      </c>
      <c r="D250" s="156" t="n">
        <v>50</v>
      </c>
      <c r="E250" s="278" t="n">
        <v>0.06</v>
      </c>
    </row>
    <row r="251">
      <c r="A251" s="155" t="n">
        <v>250</v>
      </c>
      <c r="B251" s="155" t="inlineStr">
        <is>
          <t>Poeira Total + Sílica Livre Cristalina</t>
        </is>
      </c>
      <c r="C251" s="156" t="n">
        <v>142.3</v>
      </c>
      <c r="D251" s="156" t="n">
        <v>142.3</v>
      </c>
      <c r="E251" s="278" t="n">
        <v>0</v>
      </c>
    </row>
    <row r="252">
      <c r="A252" s="155" t="n">
        <v>251</v>
      </c>
      <c r="B252" s="155" t="inlineStr">
        <is>
          <t>Prata como metal, poeira e fumos</t>
        </is>
      </c>
      <c r="C252" s="156" t="n">
        <v>76.44</v>
      </c>
      <c r="D252" s="156" t="n">
        <v>76.44</v>
      </c>
      <c r="E252" s="278" t="n">
        <v>0</v>
      </c>
    </row>
    <row r="253">
      <c r="A253" s="155" t="n">
        <v>252</v>
      </c>
      <c r="B253" s="155" t="inlineStr">
        <is>
          <t>Propano</t>
        </is>
      </c>
      <c r="C253" s="156" t="n">
        <v>129.36</v>
      </c>
      <c r="D253" s="156" t="n">
        <v>135</v>
      </c>
      <c r="E253" s="278" t="n">
        <v>0.04</v>
      </c>
    </row>
    <row r="254">
      <c r="A254" s="155" t="n">
        <v>253</v>
      </c>
      <c r="B254" s="155" t="inlineStr">
        <is>
          <t>Querosene combustível de avião</t>
        </is>
      </c>
      <c r="C254" s="156" t="n">
        <v>88.2</v>
      </c>
      <c r="D254" s="156" t="n">
        <v>94</v>
      </c>
      <c r="E254" s="278" t="n">
        <v>0.07000000000000001</v>
      </c>
    </row>
    <row r="255">
      <c r="A255" s="155" t="n">
        <v>254</v>
      </c>
      <c r="B255" s="155" t="inlineStr">
        <is>
          <t>Querosene, como vapor de hidrocarbonetos totais</t>
        </is>
      </c>
      <c r="C255" s="156" t="n">
        <v>88.2</v>
      </c>
      <c r="D255" s="156" t="n">
        <v>94</v>
      </c>
      <c r="E255" s="278" t="n">
        <v>0.07000000000000001</v>
      </c>
    </row>
    <row r="256">
      <c r="A256" s="155" t="n">
        <v>255</v>
      </c>
      <c r="B256" s="155" t="inlineStr">
        <is>
          <t>Sacarose</t>
        </is>
      </c>
      <c r="C256" s="156" t="n">
        <v>47.04</v>
      </c>
      <c r="D256" s="156" t="n">
        <v>50</v>
      </c>
      <c r="E256" s="278" t="n">
        <v>0.06</v>
      </c>
    </row>
    <row r="257">
      <c r="A257" s="155" t="n">
        <v>256</v>
      </c>
      <c r="B257" s="155" t="inlineStr">
        <is>
          <t>Sais de cianeto</t>
        </is>
      </c>
      <c r="C257" s="156" t="n">
        <v>82.31999999999999</v>
      </c>
      <c r="D257" s="156" t="n">
        <v>87</v>
      </c>
      <c r="E257" s="278" t="n">
        <v>0.06</v>
      </c>
    </row>
    <row r="258">
      <c r="A258" s="155" t="n">
        <v>257</v>
      </c>
      <c r="B258" s="155" t="inlineStr">
        <is>
          <t>Selênio e compostos, como Se</t>
        </is>
      </c>
      <c r="C258" s="156" t="n">
        <v>76.44</v>
      </c>
      <c r="D258" s="156" t="n">
        <v>76.44</v>
      </c>
      <c r="E258" s="278" t="n">
        <v>0</v>
      </c>
    </row>
    <row r="259">
      <c r="A259" s="155" t="n">
        <v>258</v>
      </c>
      <c r="B259" s="155" t="inlineStr">
        <is>
          <t>Silicato de cálcio ocorrência natural como Wollastonite</t>
        </is>
      </c>
      <c r="C259" s="156" t="n">
        <v>88.2</v>
      </c>
      <c r="D259" s="156" t="n">
        <v>94</v>
      </c>
      <c r="E259" s="278" t="n">
        <v>0.07000000000000001</v>
      </c>
    </row>
    <row r="260">
      <c r="A260" s="155" t="n">
        <v>259</v>
      </c>
      <c r="B260" s="155" t="inlineStr">
        <is>
          <t>Silício</t>
        </is>
      </c>
      <c r="C260" s="156" t="n">
        <v>76.44</v>
      </c>
      <c r="D260" s="156" t="n">
        <v>76.44</v>
      </c>
      <c r="E260" s="278" t="n">
        <v>0</v>
      </c>
    </row>
    <row r="261">
      <c r="A261" s="155" t="n">
        <v>260</v>
      </c>
      <c r="B261" s="155" t="inlineStr">
        <is>
          <t>Solvente de borracha</t>
        </is>
      </c>
      <c r="C261" s="156" t="n">
        <v>204.02</v>
      </c>
      <c r="D261" s="156" t="n">
        <v>218</v>
      </c>
      <c r="E261" s="278" t="n">
        <v>0.07000000000000001</v>
      </c>
    </row>
    <row r="262">
      <c r="A262" s="155" t="n">
        <v>261</v>
      </c>
      <c r="B262" s="155" t="inlineStr">
        <is>
          <t>Subsulfeto de níquel, como Ni</t>
        </is>
      </c>
      <c r="C262" s="156" t="n">
        <v>76.44</v>
      </c>
      <c r="D262" s="156" t="n">
        <v>76.44</v>
      </c>
      <c r="E262" s="278" t="n">
        <v>0</v>
      </c>
    </row>
    <row r="263">
      <c r="A263" s="155" t="n">
        <v>262</v>
      </c>
      <c r="B263" s="155" t="inlineStr">
        <is>
          <t>Sulfato de bário</t>
        </is>
      </c>
      <c r="C263" s="156" t="n">
        <v>47.04</v>
      </c>
      <c r="D263" s="156" t="n">
        <v>50</v>
      </c>
      <c r="E263" s="278" t="n">
        <v>0.06</v>
      </c>
    </row>
    <row r="264">
      <c r="A264" s="155" t="n">
        <v>263</v>
      </c>
      <c r="B264" s="155" t="inlineStr">
        <is>
          <t>Sulfato de cálcio</t>
        </is>
      </c>
      <c r="C264" s="156" t="n">
        <v>47.04</v>
      </c>
      <c r="D264" s="156" t="n">
        <v>50</v>
      </c>
      <c r="E264" s="278" t="n">
        <v>0.06</v>
      </c>
    </row>
    <row r="265">
      <c r="A265" s="155" t="n">
        <v>264</v>
      </c>
      <c r="B265" s="155" t="inlineStr">
        <is>
          <t>Sulfeto de hidrogênio</t>
        </is>
      </c>
      <c r="C265" s="156" t="n">
        <v>147</v>
      </c>
      <c r="D265" s="156" t="n">
        <v>148</v>
      </c>
      <c r="E265" s="278" t="n">
        <v>0.01</v>
      </c>
    </row>
    <row r="266">
      <c r="A266" s="155" t="n">
        <v>265</v>
      </c>
      <c r="B266" s="155" t="inlineStr">
        <is>
          <t>Talco (sem fibra de asbesto)</t>
        </is>
      </c>
      <c r="C266" s="156" t="n">
        <v>47.04</v>
      </c>
      <c r="D266" s="156" t="n">
        <v>50</v>
      </c>
      <c r="E266" s="278" t="n">
        <v>0.06</v>
      </c>
    </row>
    <row r="267">
      <c r="A267" s="155" t="n">
        <v>266</v>
      </c>
      <c r="B267" s="155" t="inlineStr">
        <is>
          <t>Terebentina e monoterpenos selecionados</t>
        </is>
      </c>
      <c r="C267" s="156" t="n">
        <v>182.28</v>
      </c>
      <c r="D267" s="156" t="n">
        <v>182.28</v>
      </c>
      <c r="E267" s="278" t="n">
        <v>0</v>
      </c>
    </row>
    <row r="268">
      <c r="A268" s="155" t="n">
        <v>267</v>
      </c>
      <c r="B268" s="155" t="inlineStr">
        <is>
          <t>Tetrahidrofurano</t>
        </is>
      </c>
      <c r="C268" s="156" t="n">
        <v>88.2</v>
      </c>
      <c r="D268" s="156" t="n">
        <v>94</v>
      </c>
      <c r="E268" s="278" t="n">
        <v>0.07000000000000001</v>
      </c>
    </row>
    <row r="269">
      <c r="A269" s="155" t="n">
        <v>268</v>
      </c>
      <c r="B269" s="155" t="inlineStr">
        <is>
          <t>Tolueno</t>
        </is>
      </c>
      <c r="C269" s="156" t="n">
        <v>88.2</v>
      </c>
      <c r="D269" s="156" t="n">
        <v>94</v>
      </c>
      <c r="E269" s="278" t="n">
        <v>0.07000000000000001</v>
      </c>
    </row>
    <row r="270">
      <c r="A270" s="155" t="n">
        <v>269</v>
      </c>
      <c r="B270" s="155" t="inlineStr">
        <is>
          <t>Tolueno 2,4 ou 2,6 - diisocianato (ou como mistura)</t>
        </is>
      </c>
      <c r="C270" s="156" t="n">
        <v>194.04</v>
      </c>
      <c r="D270" s="156" t="n">
        <v>194.04</v>
      </c>
      <c r="E270" s="278" t="n">
        <v>0</v>
      </c>
    </row>
    <row r="271">
      <c r="A271" s="155" t="n">
        <v>270</v>
      </c>
      <c r="B271" s="155" t="inlineStr">
        <is>
          <t>Tricloroetileno</t>
        </is>
      </c>
      <c r="C271" s="156" t="n">
        <v>88.2</v>
      </c>
      <c r="D271" s="156" t="n">
        <v>94</v>
      </c>
      <c r="E271" s="278" t="n">
        <v>0.07000000000000001</v>
      </c>
    </row>
    <row r="272">
      <c r="A272" s="155" t="n">
        <v>271</v>
      </c>
      <c r="B272" s="155" t="inlineStr">
        <is>
          <t>Trietanolamina</t>
        </is>
      </c>
      <c r="C272" s="156" t="n">
        <v>186.52</v>
      </c>
      <c r="D272" s="156" t="n">
        <v>195</v>
      </c>
      <c r="E272" s="278" t="n">
        <v>0.05</v>
      </c>
    </row>
    <row r="273">
      <c r="A273" s="155" t="n">
        <v>272</v>
      </c>
      <c r="B273" s="155" t="inlineStr">
        <is>
          <t>Trietilamina</t>
        </is>
      </c>
      <c r="C273" s="156" t="n">
        <v>194.04</v>
      </c>
      <c r="D273" s="156" t="n">
        <v>194.04</v>
      </c>
      <c r="E273" s="278" t="n">
        <v>0</v>
      </c>
    </row>
    <row r="274">
      <c r="A274" s="155" t="n">
        <v>273</v>
      </c>
      <c r="B274" s="155" t="inlineStr">
        <is>
          <t>Trimetil benzeno (mistura de isômeros)</t>
        </is>
      </c>
      <c r="C274" s="156" t="n">
        <v>99.95999999999999</v>
      </c>
      <c r="D274" s="156" t="n">
        <v>143</v>
      </c>
      <c r="E274" s="278" t="n">
        <v>0.43</v>
      </c>
    </row>
    <row r="275">
      <c r="A275" s="155" t="n">
        <v>274</v>
      </c>
      <c r="B275" s="155" t="inlineStr">
        <is>
          <t>Trimetilamina</t>
        </is>
      </c>
      <c r="C275" s="156" t="n">
        <v>193.62</v>
      </c>
      <c r="D275" s="156" t="n">
        <v>193.62</v>
      </c>
      <c r="E275" s="278" t="n">
        <v>0</v>
      </c>
    </row>
    <row r="276">
      <c r="A276" s="155" t="n">
        <v>275</v>
      </c>
      <c r="B276" s="155" t="inlineStr">
        <is>
          <t>Trióxido de Antimônio</t>
        </is>
      </c>
      <c r="C276" s="156" t="n">
        <v>76.44</v>
      </c>
      <c r="D276" s="156" t="n">
        <v>76.44</v>
      </c>
      <c r="E276" s="278" t="n">
        <v>0</v>
      </c>
    </row>
    <row r="277">
      <c r="A277" s="155" t="n">
        <v>276</v>
      </c>
      <c r="B277" s="155" t="inlineStr">
        <is>
          <t>Tungstênio e compostos, na ausência de cobalto, como W</t>
        </is>
      </c>
      <c r="C277" s="156" t="n">
        <v>76.44</v>
      </c>
      <c r="D277" s="156" t="n">
        <v>76.44</v>
      </c>
      <c r="E277" s="278" t="n">
        <v>0</v>
      </c>
    </row>
    <row r="278">
      <c r="A278" s="155" t="n">
        <v>277</v>
      </c>
      <c r="B278" s="155" t="inlineStr">
        <is>
          <t>Varredura de HPA (17 agentes)</t>
        </is>
      </c>
      <c r="C278" s="156" t="n">
        <v>529.2</v>
      </c>
      <c r="D278" s="156" t="n">
        <v>529.2</v>
      </c>
      <c r="E278" s="278" t="n">
        <v>0</v>
      </c>
    </row>
    <row r="279">
      <c r="A279" s="155" t="n">
        <v>278</v>
      </c>
      <c r="B279" s="155" t="inlineStr">
        <is>
          <t>Varredura de Metais (20 agentes)</t>
        </is>
      </c>
      <c r="C279" s="156" t="n">
        <v>364.56</v>
      </c>
      <c r="D279" s="156" t="n">
        <v>364.56</v>
      </c>
      <c r="E279" s="278" t="n">
        <v>0</v>
      </c>
    </row>
    <row r="280">
      <c r="A280" s="155" t="n">
        <v>279</v>
      </c>
      <c r="B280" s="155" t="inlineStr">
        <is>
          <t>Varredura de Naftas (C5-C15)</t>
        </is>
      </c>
      <c r="C280" s="156" t="n">
        <v>364.56</v>
      </c>
      <c r="D280" s="156" t="n">
        <v>364.56</v>
      </c>
      <c r="E280" s="278" t="n">
        <v>0</v>
      </c>
    </row>
    <row r="281">
      <c r="A281" s="155" t="n">
        <v>280</v>
      </c>
      <c r="B281" s="155" t="inlineStr">
        <is>
          <t>Varredura de Vapores Orgânicos (35 agentes)</t>
        </is>
      </c>
      <c r="C281" s="156" t="n">
        <v>329.28</v>
      </c>
      <c r="D281" s="156" t="n">
        <v>329.28</v>
      </c>
      <c r="E281" s="278" t="n">
        <v>0</v>
      </c>
    </row>
    <row r="282">
      <c r="A282" s="155" t="n">
        <v>281</v>
      </c>
      <c r="B282" s="155" t="inlineStr">
        <is>
          <t>Xileno, todos os isômeros</t>
        </is>
      </c>
      <c r="C282" s="156" t="n">
        <v>88.2</v>
      </c>
      <c r="D282" s="156" t="n">
        <v>123</v>
      </c>
      <c r="E282" s="278" t="n">
        <v>0.39</v>
      </c>
    </row>
    <row r="283">
      <c r="A283" s="155" t="n">
        <v>282</v>
      </c>
      <c r="B283" s="155" t="inlineStr">
        <is>
          <t>Zircônio e compostos, como Zr</t>
        </is>
      </c>
      <c r="C283" s="156" t="n">
        <v>76.44</v>
      </c>
      <c r="D283" s="156" t="n">
        <v>76.44</v>
      </c>
      <c r="E283" s="278" t="n">
        <v>0</v>
      </c>
    </row>
    <row r="284"/>
    <row r="285">
      <c r="A285" s="146" t="inlineStr">
        <is>
          <t>Fonte: 3º Termo Aditivo ao Contrato 101/2023 SESI-GO x Uniscientific Group Laboratório, Goiânia, 25/06/2026. Vigência 26/06/2026 a 25/06/2027. A coluna "Valor 2026/2027" é a usada na precificação.</t>
        </is>
      </c>
    </row>
  </sheetData>
  <autoFilter ref="A1:E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sesiminas</dc:creator>
  <dc:title xmlns:dc="http://purl.org/dc/elements/1.1/">custos</dc:title>
  <dc:subject xmlns:dc="http://purl.org/dc/elements/1.1/">lev. ambiental</dc:subject>
  <dc:language xmlns:dc="http://purl.org/dc/elements/1.1/">en-US</dc:language>
  <dcterms:created xmlns:dcterms="http://purl.org/dc/terms/" xmlns:xsi="http://www.w3.org/2001/XMLSchema-instance" xsi:type="dcterms:W3CDTF">1998-03-17T09:16:44Z</dcterms:created>
  <dcterms:modified xmlns:dcterms="http://purl.org/dc/terms/" xmlns:xsi="http://www.w3.org/2001/XMLSchema-instance" xsi:type="dcterms:W3CDTF">2026-09-25T00:40:26Z</dcterms:modified>
  <cp:lastModifiedBy>MICHELLE DE CAMPOS CASTRO</cp:lastModifiedBy>
  <cp:revision>0</cp:revision>
  <cp:lastPrinted>2015-09-17T16:18:04Z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-255233544</vt:r8>
  </property>
  <property name="_AuthorEmail" fmtid="{D5CDD505-2E9C-101B-9397-08002B2CF9AE}" pid="3">
    <vt:lpwstr xmlns:vt="http://schemas.openxmlformats.org/officeDocument/2006/docPropsVTypes">cscarpelli@fiemg.com.br</vt:lpwstr>
  </property>
  <property name="_AuthorEmailDisplayName" fmtid="{D5CDD505-2E9C-101B-9397-08002B2CF9AE}" pid="4">
    <vt:lpwstr xmlns:vt="http://schemas.openxmlformats.org/officeDocument/2006/docPropsVTypes">Cristiane Scarpelli de Almeida</vt:lpwstr>
  </property>
  <property name="_EmailSubject" fmtid="{D5CDD505-2E9C-101B-9397-08002B2CF9AE}" pid="5">
    <vt:lpwstr xmlns:vt="http://schemas.openxmlformats.org/officeDocument/2006/docPropsVTypes">Planilhas DR MG</vt:lpwstr>
  </property>
  <property name="_ReviewingToolsShownOnce" fmtid="{D5CDD505-2E9C-101B-9397-08002B2CF9AE}" pid="6">
    <vt:lpwstr xmlns:vt="http://schemas.openxmlformats.org/officeDocument/2006/docPropsVTypes"/>
  </property>
</Properties>
</file>